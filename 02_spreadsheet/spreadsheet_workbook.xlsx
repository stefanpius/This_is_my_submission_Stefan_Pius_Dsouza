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unooz\Downloads\my_submission\02_spreadsheet\"/>
    </mc:Choice>
  </mc:AlternateContent>
  <xr:revisionPtr revIDLastSave="0" documentId="13_ncr:1_{17707BD1-537B-4E36-B12A-4339F050C0C6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cleaned_transactions" sheetId="1" r:id="rId1"/>
    <sheet name="merchant_risk_summary" sheetId="2" r:id="rId2"/>
    <sheet name="transactions_raw" sheetId="3" r:id="rId3"/>
    <sheet name="exchange_rates" sheetId="8" r:id="rId4"/>
    <sheet name="merchant_master" sheetId="4" r:id="rId5"/>
    <sheet name="users" sheetId="5" r:id="rId6"/>
    <sheet name="ledger" sheetId="6" r:id="rId7"/>
    <sheet name="gateway" sheetId="7" r:id="rId8"/>
  </sheets>
  <definedNames>
    <definedName name="_xlnm._FilterDatabase" localSheetId="0" hidden="1">cleaned_transactions!$A$1:$Z$31</definedName>
    <definedName name="_xlnm._FilterDatabase" localSheetId="2" hidden="1">transactions_raw!$A$1:$U$31</definedName>
  </definedNames>
  <calcPr calcId="191029"/>
  <pivotCaches>
    <pivotCache cacheId="2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3" l="1"/>
  <c r="P31" i="3"/>
  <c r="N31" i="3"/>
  <c r="T31" i="3" s="1"/>
  <c r="L31" i="3"/>
  <c r="U31" i="3" s="1"/>
  <c r="J31" i="3"/>
  <c r="G31" i="3"/>
  <c r="E31" i="3"/>
  <c r="S31" i="3" s="1"/>
  <c r="C31" i="3"/>
  <c r="P30" i="3"/>
  <c r="N30" i="3"/>
  <c r="T30" i="3" s="1"/>
  <c r="L30" i="3"/>
  <c r="U30" i="3" s="1"/>
  <c r="J30" i="3"/>
  <c r="G30" i="3"/>
  <c r="E30" i="3"/>
  <c r="S30" i="3" s="1"/>
  <c r="C30" i="3"/>
  <c r="S29" i="3"/>
  <c r="P29" i="3"/>
  <c r="N29" i="3"/>
  <c r="T29" i="3" s="1"/>
  <c r="L29" i="3"/>
  <c r="U29" i="3" s="1"/>
  <c r="J29" i="3"/>
  <c r="G29" i="3"/>
  <c r="E29" i="3"/>
  <c r="R29" i="3" s="1"/>
  <c r="C29" i="3"/>
  <c r="R28" i="3"/>
  <c r="P28" i="3"/>
  <c r="N28" i="3"/>
  <c r="T28" i="3" s="1"/>
  <c r="L28" i="3"/>
  <c r="U28" i="3" s="1"/>
  <c r="J28" i="3"/>
  <c r="G28" i="3"/>
  <c r="E28" i="3"/>
  <c r="S28" i="3" s="1"/>
  <c r="C28" i="3"/>
  <c r="S27" i="3"/>
  <c r="P27" i="3"/>
  <c r="N27" i="3"/>
  <c r="T27" i="3" s="1"/>
  <c r="L27" i="3"/>
  <c r="U27" i="3" s="1"/>
  <c r="J27" i="3"/>
  <c r="G27" i="3"/>
  <c r="E27" i="3"/>
  <c r="R27" i="3" s="1"/>
  <c r="C27" i="3"/>
  <c r="P26" i="3"/>
  <c r="N26" i="3"/>
  <c r="L26" i="3"/>
  <c r="U26" i="3" s="1"/>
  <c r="J26" i="3"/>
  <c r="E26" i="3"/>
  <c r="S26" i="3" s="1"/>
  <c r="C26" i="3"/>
  <c r="P25" i="3"/>
  <c r="N25" i="3"/>
  <c r="L25" i="3"/>
  <c r="U25" i="3" s="1"/>
  <c r="J25" i="3"/>
  <c r="G25" i="3"/>
  <c r="E25" i="3"/>
  <c r="R25" i="3" s="1"/>
  <c r="C25" i="3"/>
  <c r="S24" i="3"/>
  <c r="R24" i="3"/>
  <c r="P24" i="3"/>
  <c r="N24" i="3"/>
  <c r="L24" i="3"/>
  <c r="U24" i="3" s="1"/>
  <c r="J24" i="3"/>
  <c r="G24" i="3"/>
  <c r="E24" i="3"/>
  <c r="C24" i="3"/>
  <c r="S23" i="3"/>
  <c r="P23" i="3"/>
  <c r="N23" i="3"/>
  <c r="L23" i="3"/>
  <c r="U23" i="3" s="1"/>
  <c r="J23" i="3"/>
  <c r="G23" i="3"/>
  <c r="E23" i="3"/>
  <c r="R23" i="3" s="1"/>
  <c r="C23" i="3"/>
  <c r="P22" i="3"/>
  <c r="N22" i="3"/>
  <c r="T22" i="3" s="1"/>
  <c r="L22" i="3"/>
  <c r="U22" i="3" s="1"/>
  <c r="J22" i="3"/>
  <c r="G22" i="3"/>
  <c r="E22" i="3"/>
  <c r="S22" i="3" s="1"/>
  <c r="C22" i="3"/>
  <c r="P21" i="3"/>
  <c r="N21" i="3"/>
  <c r="T21" i="3" s="1"/>
  <c r="L21" i="3"/>
  <c r="U21" i="3" s="1"/>
  <c r="J21" i="3"/>
  <c r="G21" i="3"/>
  <c r="E21" i="3"/>
  <c r="R21" i="3" s="1"/>
  <c r="C21" i="3"/>
  <c r="P20" i="3"/>
  <c r="N20" i="3"/>
  <c r="T20" i="3" s="1"/>
  <c r="L20" i="3"/>
  <c r="U20" i="3" s="1"/>
  <c r="J20" i="3"/>
  <c r="G20" i="3"/>
  <c r="E20" i="3"/>
  <c r="R20" i="3" s="1"/>
  <c r="C20" i="3"/>
  <c r="P19" i="3"/>
  <c r="N19" i="3"/>
  <c r="T19" i="3" s="1"/>
  <c r="L19" i="3"/>
  <c r="U19" i="3" s="1"/>
  <c r="J19" i="3"/>
  <c r="G19" i="3"/>
  <c r="E19" i="3"/>
  <c r="S19" i="3" s="1"/>
  <c r="C19" i="3"/>
  <c r="P18" i="3"/>
  <c r="N18" i="3"/>
  <c r="T18" i="3" s="1"/>
  <c r="L18" i="3"/>
  <c r="U18" i="3" s="1"/>
  <c r="J18" i="3"/>
  <c r="G18" i="3"/>
  <c r="E18" i="3"/>
  <c r="S18" i="3" s="1"/>
  <c r="C18" i="3"/>
  <c r="P17" i="3"/>
  <c r="N17" i="3"/>
  <c r="L17" i="3"/>
  <c r="U17" i="3" s="1"/>
  <c r="J17" i="3"/>
  <c r="G17" i="3"/>
  <c r="E17" i="3"/>
  <c r="R17" i="3" s="1"/>
  <c r="C17" i="3"/>
  <c r="P16" i="3"/>
  <c r="N16" i="3"/>
  <c r="T16" i="3" s="1"/>
  <c r="L16" i="3"/>
  <c r="U16" i="3" s="1"/>
  <c r="J16" i="3"/>
  <c r="G16" i="3"/>
  <c r="E16" i="3"/>
  <c r="S16" i="3" s="1"/>
  <c r="C16" i="3"/>
  <c r="S15" i="3"/>
  <c r="R15" i="3"/>
  <c r="P15" i="3"/>
  <c r="N15" i="3"/>
  <c r="L15" i="3"/>
  <c r="U15" i="3" s="1"/>
  <c r="J15" i="3"/>
  <c r="G15" i="3"/>
  <c r="E15" i="3"/>
  <c r="C15" i="3"/>
  <c r="P14" i="3"/>
  <c r="N14" i="3"/>
  <c r="T14" i="3" s="1"/>
  <c r="L14" i="3"/>
  <c r="U14" i="3" s="1"/>
  <c r="J14" i="3"/>
  <c r="G14" i="3"/>
  <c r="E14" i="3"/>
  <c r="S14" i="3" s="1"/>
  <c r="C14" i="3"/>
  <c r="P13" i="3"/>
  <c r="N13" i="3"/>
  <c r="T13" i="3" s="1"/>
  <c r="L13" i="3"/>
  <c r="U13" i="3" s="1"/>
  <c r="J13" i="3"/>
  <c r="G13" i="3"/>
  <c r="E13" i="3"/>
  <c r="R13" i="3" s="1"/>
  <c r="C13" i="3"/>
  <c r="P12" i="3"/>
  <c r="N12" i="3"/>
  <c r="L12" i="3"/>
  <c r="U12" i="3" s="1"/>
  <c r="J12" i="3"/>
  <c r="G12" i="3"/>
  <c r="E12" i="3"/>
  <c r="S12" i="3" s="1"/>
  <c r="C12" i="3"/>
  <c r="S11" i="3"/>
  <c r="R11" i="3"/>
  <c r="P11" i="3"/>
  <c r="N11" i="3"/>
  <c r="L11" i="3"/>
  <c r="U11" i="3" s="1"/>
  <c r="J11" i="3"/>
  <c r="G11" i="3"/>
  <c r="E11" i="3"/>
  <c r="C11" i="3"/>
  <c r="P10" i="3"/>
  <c r="N10" i="3"/>
  <c r="L10" i="3"/>
  <c r="U10" i="3" s="1"/>
  <c r="J10" i="3"/>
  <c r="G10" i="3"/>
  <c r="E10" i="3"/>
  <c r="S10" i="3" s="1"/>
  <c r="C10" i="3"/>
  <c r="P9" i="3"/>
  <c r="N9" i="3"/>
  <c r="L9" i="3"/>
  <c r="U9" i="3" s="1"/>
  <c r="J9" i="3"/>
  <c r="G9" i="3"/>
  <c r="E9" i="3"/>
  <c r="R9" i="3" s="1"/>
  <c r="C9" i="3"/>
  <c r="S8" i="3"/>
  <c r="R8" i="3"/>
  <c r="P8" i="3"/>
  <c r="N8" i="3"/>
  <c r="L8" i="3"/>
  <c r="U8" i="3" s="1"/>
  <c r="J8" i="3"/>
  <c r="G8" i="3"/>
  <c r="E8" i="3"/>
  <c r="C8" i="3"/>
  <c r="S7" i="3"/>
  <c r="P7" i="3"/>
  <c r="N7" i="3"/>
  <c r="L7" i="3"/>
  <c r="U7" i="3" s="1"/>
  <c r="J7" i="3"/>
  <c r="G7" i="3"/>
  <c r="E7" i="3"/>
  <c r="R7" i="3" s="1"/>
  <c r="C7" i="3"/>
  <c r="P6" i="3"/>
  <c r="N6" i="3"/>
  <c r="T6" i="3" s="1"/>
  <c r="L6" i="3"/>
  <c r="U6" i="3" s="1"/>
  <c r="J6" i="3"/>
  <c r="G6" i="3"/>
  <c r="E6" i="3"/>
  <c r="S6" i="3" s="1"/>
  <c r="C6" i="3"/>
  <c r="P5" i="3"/>
  <c r="N5" i="3"/>
  <c r="T5" i="3" s="1"/>
  <c r="L5" i="3"/>
  <c r="U5" i="3" s="1"/>
  <c r="J5" i="3"/>
  <c r="G5" i="3"/>
  <c r="E5" i="3"/>
  <c r="R5" i="3" s="1"/>
  <c r="C5" i="3"/>
  <c r="P4" i="3"/>
  <c r="N4" i="3"/>
  <c r="T4" i="3" s="1"/>
  <c r="L4" i="3"/>
  <c r="U4" i="3" s="1"/>
  <c r="J4" i="3"/>
  <c r="G4" i="3"/>
  <c r="E4" i="3"/>
  <c r="R4" i="3" s="1"/>
  <c r="C4" i="3"/>
  <c r="P3" i="3"/>
  <c r="N3" i="3"/>
  <c r="T3" i="3" s="1"/>
  <c r="L3" i="3"/>
  <c r="U3" i="3" s="1"/>
  <c r="J3" i="3"/>
  <c r="G3" i="3"/>
  <c r="E3" i="3"/>
  <c r="S3" i="3" s="1"/>
  <c r="C3" i="3"/>
  <c r="P2" i="3"/>
  <c r="N2" i="3"/>
  <c r="T2" i="3" s="1"/>
  <c r="L2" i="3"/>
  <c r="U2" i="3" s="1"/>
  <c r="J2" i="3"/>
  <c r="G2" i="3"/>
  <c r="E2" i="3"/>
  <c r="S2" i="3" s="1"/>
  <c r="C2" i="3"/>
  <c r="N31" i="1"/>
  <c r="M31" i="1"/>
  <c r="L31" i="1"/>
  <c r="K31" i="1"/>
  <c r="I31" i="1"/>
  <c r="N22" i="1"/>
  <c r="M22" i="1"/>
  <c r="L22" i="1"/>
  <c r="K22" i="1"/>
  <c r="I22" i="1"/>
  <c r="N12" i="1"/>
  <c r="M12" i="1"/>
  <c r="L12" i="1"/>
  <c r="K12" i="1"/>
  <c r="I12" i="1"/>
  <c r="N6" i="1"/>
  <c r="M6" i="1"/>
  <c r="L6" i="1"/>
  <c r="K6" i="1"/>
  <c r="I6" i="1"/>
  <c r="N28" i="1"/>
  <c r="M28" i="1"/>
  <c r="L28" i="1"/>
  <c r="K28" i="1"/>
  <c r="I28" i="1"/>
  <c r="N17" i="1"/>
  <c r="M17" i="1"/>
  <c r="L17" i="1"/>
  <c r="K17" i="1"/>
  <c r="I17" i="1"/>
  <c r="N11" i="1"/>
  <c r="M11" i="1"/>
  <c r="L11" i="1"/>
  <c r="K11" i="1"/>
  <c r="I11" i="1"/>
  <c r="N5" i="1"/>
  <c r="M5" i="1"/>
  <c r="L5" i="1"/>
  <c r="K5" i="1"/>
  <c r="I5" i="1"/>
  <c r="N30" i="1"/>
  <c r="M30" i="1"/>
  <c r="L30" i="1"/>
  <c r="K30" i="1"/>
  <c r="I30" i="1"/>
  <c r="N29" i="1"/>
  <c r="M29" i="1"/>
  <c r="L29" i="1"/>
  <c r="K29" i="1"/>
  <c r="I29" i="1"/>
  <c r="N27" i="1"/>
  <c r="M27" i="1"/>
  <c r="L27" i="1"/>
  <c r="K27" i="1"/>
  <c r="I27" i="1"/>
  <c r="N26" i="1"/>
  <c r="M26" i="1"/>
  <c r="L26" i="1"/>
  <c r="K26" i="1"/>
  <c r="I26" i="1"/>
  <c r="N25" i="1"/>
  <c r="M25" i="1"/>
  <c r="L25" i="1"/>
  <c r="K25" i="1"/>
  <c r="I25" i="1"/>
  <c r="N24" i="1"/>
  <c r="M24" i="1"/>
  <c r="L24" i="1"/>
  <c r="K24" i="1"/>
  <c r="I24" i="1"/>
  <c r="N23" i="1"/>
  <c r="M23" i="1"/>
  <c r="L23" i="1"/>
  <c r="K23" i="1"/>
  <c r="I23" i="1"/>
  <c r="N21" i="1"/>
  <c r="M21" i="1"/>
  <c r="L21" i="1"/>
  <c r="K21" i="1"/>
  <c r="I21" i="1"/>
  <c r="N20" i="1"/>
  <c r="M20" i="1"/>
  <c r="L20" i="1"/>
  <c r="K20" i="1"/>
  <c r="I20" i="1"/>
  <c r="N19" i="1"/>
  <c r="M19" i="1"/>
  <c r="L19" i="1"/>
  <c r="K19" i="1"/>
  <c r="I19" i="1"/>
  <c r="N18" i="1"/>
  <c r="M18" i="1"/>
  <c r="L18" i="1"/>
  <c r="K18" i="1"/>
  <c r="I18" i="1"/>
  <c r="N16" i="1"/>
  <c r="M16" i="1"/>
  <c r="L16" i="1"/>
  <c r="K16" i="1"/>
  <c r="I16" i="1"/>
  <c r="N15" i="1"/>
  <c r="M15" i="1"/>
  <c r="L15" i="1"/>
  <c r="K15" i="1"/>
  <c r="I15" i="1"/>
  <c r="N14" i="1"/>
  <c r="M14" i="1"/>
  <c r="L14" i="1"/>
  <c r="K14" i="1"/>
  <c r="I14" i="1"/>
  <c r="N13" i="1"/>
  <c r="M13" i="1"/>
  <c r="L13" i="1"/>
  <c r="K13" i="1"/>
  <c r="I13" i="1"/>
  <c r="N10" i="1"/>
  <c r="M10" i="1"/>
  <c r="L10" i="1"/>
  <c r="K10" i="1"/>
  <c r="I10" i="1"/>
  <c r="N9" i="1"/>
  <c r="M9" i="1"/>
  <c r="L9" i="1"/>
  <c r="K9" i="1"/>
  <c r="I9" i="1"/>
  <c r="N8" i="1"/>
  <c r="M8" i="1"/>
  <c r="L8" i="1"/>
  <c r="K8" i="1"/>
  <c r="I8" i="1"/>
  <c r="N7" i="1"/>
  <c r="M7" i="1"/>
  <c r="L7" i="1"/>
  <c r="K7" i="1"/>
  <c r="I7" i="1"/>
  <c r="N4" i="1"/>
  <c r="M4" i="1"/>
  <c r="L4" i="1"/>
  <c r="K4" i="1"/>
  <c r="I4" i="1"/>
  <c r="N3" i="1"/>
  <c r="M3" i="1"/>
  <c r="L3" i="1"/>
  <c r="K3" i="1"/>
  <c r="I3" i="1"/>
  <c r="N2" i="1"/>
  <c r="M2" i="1"/>
  <c r="L2" i="1"/>
  <c r="K2" i="1"/>
  <c r="I2" i="1"/>
  <c r="S5" i="3" l="1"/>
  <c r="S9" i="3"/>
  <c r="R12" i="3"/>
  <c r="S20" i="3"/>
  <c r="S21" i="3"/>
  <c r="S25" i="3"/>
  <c r="S4" i="3"/>
  <c r="T7" i="3"/>
  <c r="T8" i="3"/>
  <c r="T11" i="3"/>
  <c r="T17" i="3"/>
  <c r="T23" i="3"/>
  <c r="T24" i="3"/>
  <c r="R3" i="3"/>
  <c r="S13" i="3"/>
  <c r="R19" i="3"/>
  <c r="R16" i="3"/>
  <c r="T9" i="3"/>
  <c r="T10" i="3"/>
  <c r="T12" i="3"/>
  <c r="T15" i="3"/>
  <c r="S17" i="3"/>
  <c r="T25" i="3"/>
  <c r="T26" i="3"/>
  <c r="R31" i="3"/>
  <c r="R2" i="3"/>
  <c r="R6" i="3"/>
  <c r="R10" i="3"/>
  <c r="R14" i="3"/>
  <c r="R18" i="3"/>
  <c r="R22" i="3"/>
  <c r="R26" i="3"/>
  <c r="R30" i="3"/>
</calcChain>
</file>

<file path=xl/sharedStrings.xml><?xml version="1.0" encoding="utf-8"?>
<sst xmlns="http://schemas.openxmlformats.org/spreadsheetml/2006/main" count="679" uniqueCount="173">
  <si>
    <t>transaction_id</t>
  </si>
  <si>
    <t>transaction_date</t>
  </si>
  <si>
    <t>merchant_name_clean</t>
  </si>
  <si>
    <t>amount_usd</t>
  </si>
  <si>
    <t>currency</t>
  </si>
  <si>
    <t>status_clean</t>
  </si>
  <si>
    <t>risk_score_clean</t>
  </si>
  <si>
    <t>gateway_region_clean</t>
  </si>
  <si>
    <t>user_id</t>
  </si>
  <si>
    <t>User Name</t>
  </si>
  <si>
    <t>payment_method</t>
  </si>
  <si>
    <t>Account_Manager</t>
  </si>
  <si>
    <t>merchant_category</t>
  </si>
  <si>
    <t>high_value_flag</t>
  </si>
  <si>
    <t>high_risk_flag</t>
  </si>
  <si>
    <t xml:space="preserve"> </t>
  </si>
  <si>
    <t>T001</t>
  </si>
  <si>
    <t>Alpha Mart</t>
  </si>
  <si>
    <t>INR</t>
  </si>
  <si>
    <t>Captured</t>
  </si>
  <si>
    <t>APAC</t>
  </si>
  <si>
    <t>U001</t>
  </si>
  <si>
    <t>UPI</t>
  </si>
  <si>
    <t>T002</t>
  </si>
  <si>
    <t>MISSING</t>
  </si>
  <si>
    <t>U002</t>
  </si>
  <si>
    <t>Card</t>
  </si>
  <si>
    <t>T003</t>
  </si>
  <si>
    <t>Beta Stores</t>
  </si>
  <si>
    <t>U003</t>
  </si>
  <si>
    <t>NetBanking</t>
  </si>
  <si>
    <t>T004</t>
  </si>
  <si>
    <t>Failed E05 Timeout</t>
  </si>
  <si>
    <t>U004</t>
  </si>
  <si>
    <t>T005</t>
  </si>
  <si>
    <t>T006</t>
  </si>
  <si>
    <t>U005</t>
  </si>
  <si>
    <t>Wallet</t>
  </si>
  <si>
    <t>T007</t>
  </si>
  <si>
    <t>Chargeback</t>
  </si>
  <si>
    <t>U006</t>
  </si>
  <si>
    <t>T008</t>
  </si>
  <si>
    <t>U007</t>
  </si>
  <si>
    <t>T009</t>
  </si>
  <si>
    <t>T010</t>
  </si>
  <si>
    <t>T011</t>
  </si>
  <si>
    <t>U008</t>
  </si>
  <si>
    <t>T012</t>
  </si>
  <si>
    <t>U009</t>
  </si>
  <si>
    <t>T013</t>
  </si>
  <si>
    <t>U010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</si>
  <si>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</si>
  <si>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</si>
  <si>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</si>
  <si>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</si>
  <si>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</si>
  <si>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</si>
  <si>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</si>
  <si>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</si>
  <si>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</si>
  <si>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</si>
  <si>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City Pharma</t>
  </si>
  <si>
    <t>EUR</t>
  </si>
  <si>
    <t>EU</t>
  </si>
  <si>
    <t>T024</t>
  </si>
  <si>
    <t>Eco Home</t>
  </si>
  <si>
    <t>T025</t>
  </si>
  <si>
    <t>T026</t>
  </si>
  <si>
    <t>T027</t>
  </si>
  <si>
    <t>Delta Travels</t>
  </si>
  <si>
    <t>USD</t>
  </si>
  <si>
    <t>US</t>
  </si>
  <si>
    <t>T028</t>
  </si>
  <si>
    <t>T029</t>
  </si>
  <si>
    <t>T030</t>
  </si>
  <si>
    <t>SUM of amount_usd</t>
  </si>
  <si>
    <t>Grand Total</t>
  </si>
  <si>
    <t>SUM of high_value_flag</t>
  </si>
  <si>
    <t>Aarav Shah</t>
  </si>
  <si>
    <t>Emma Brooks</t>
  </si>
  <si>
    <t>Ishaan Verma</t>
  </si>
  <si>
    <t>SUM of high_risk_flag</t>
  </si>
  <si>
    <t>Kabir Jain</t>
  </si>
  <si>
    <t>Liam Carter</t>
  </si>
  <si>
    <t>Meera Iyer</t>
  </si>
  <si>
    <t>Noah Kim</t>
  </si>
  <si>
    <t>Riya Gupta</t>
  </si>
  <si>
    <t>Sofia Rossi</t>
  </si>
  <si>
    <t>Vikram Nair</t>
  </si>
  <si>
    <t>transaction_date_validation</t>
  </si>
  <si>
    <t>merchant_name</t>
  </si>
  <si>
    <t>raw_amount</t>
  </si>
  <si>
    <t>status</t>
  </si>
  <si>
    <t>risk_score</t>
  </si>
  <si>
    <t>gateway_region</t>
  </si>
  <si>
    <t>alpha mart</t>
  </si>
  <si>
    <t>captured</t>
  </si>
  <si>
    <t>score:62</t>
  </si>
  <si>
    <t>ALPHA MART</t>
  </si>
  <si>
    <t>BETA STORES</t>
  </si>
  <si>
    <t>CAPTURED</t>
  </si>
  <si>
    <t>Beta  Stores</t>
  </si>
  <si>
    <t>failed e05 timeout</t>
  </si>
  <si>
    <t>apac</t>
  </si>
  <si>
    <t>score:64</t>
  </si>
  <si>
    <t>Alpha  Mart</t>
  </si>
  <si>
    <t>chargeback</t>
  </si>
  <si>
    <t>risk-83</t>
  </si>
  <si>
    <t>risk-77</t>
  </si>
  <si>
    <t>FAILED e05 TIMEOUT</t>
  </si>
  <si>
    <t>risk-61</t>
  </si>
  <si>
    <t>score:54</t>
  </si>
  <si>
    <t>risk-73</t>
  </si>
  <si>
    <t>score:52</t>
  </si>
  <si>
    <t>failed E05 timeout</t>
  </si>
  <si>
    <t>risk-69</t>
  </si>
  <si>
    <t>score:72</t>
  </si>
  <si>
    <t>risk-86</t>
  </si>
  <si>
    <t>score:67</t>
  </si>
  <si>
    <t>beta stores</t>
  </si>
  <si>
    <t>score:63</t>
  </si>
  <si>
    <t>score:65</t>
  </si>
  <si>
    <t>eu</t>
  </si>
  <si>
    <t>DELTA TRAVELS</t>
  </si>
  <si>
    <t>us</t>
  </si>
  <si>
    <t>risk-41</t>
  </si>
  <si>
    <t>delta travels</t>
  </si>
  <si>
    <t>score:58</t>
  </si>
  <si>
    <t>score:47</t>
  </si>
  <si>
    <t>merchant_id</t>
  </si>
  <si>
    <t>account_manager</t>
  </si>
  <si>
    <t>default_region</t>
  </si>
  <si>
    <t>M001</t>
  </si>
  <si>
    <t>Aisha Khan</t>
  </si>
  <si>
    <t>Grocery</t>
  </si>
  <si>
    <t>M002</t>
  </si>
  <si>
    <t>Rohan Mehta</t>
  </si>
  <si>
    <t>Electronics</t>
  </si>
  <si>
    <t>M003</t>
  </si>
  <si>
    <t>Elena Rossi</t>
  </si>
  <si>
    <t>Healthcare</t>
  </si>
  <si>
    <t>M004</t>
  </si>
  <si>
    <t>Marcus Lee</t>
  </si>
  <si>
    <t>Travel</t>
  </si>
  <si>
    <t>M005</t>
  </si>
  <si>
    <t>Nina Weber</t>
  </si>
  <si>
    <t>Home</t>
  </si>
  <si>
    <t>user_name</t>
  </si>
  <si>
    <t>signup_date</t>
  </si>
  <si>
    <t>user_region</t>
  </si>
  <si>
    <t>risk_tier</t>
  </si>
  <si>
    <t>India</t>
  </si>
  <si>
    <t>medium</t>
  </si>
  <si>
    <t>low</t>
  </si>
  <si>
    <t>Italy</t>
  </si>
  <si>
    <t>high</t>
  </si>
  <si>
    <t>Singapore</t>
  </si>
  <si>
    <t>USA</t>
  </si>
  <si>
    <t>R001</t>
  </si>
  <si>
    <t>success</t>
  </si>
  <si>
    <t>R002</t>
  </si>
  <si>
    <t>R003</t>
  </si>
  <si>
    <t>R004</t>
  </si>
  <si>
    <t>R005</t>
  </si>
  <si>
    <t>R006</t>
  </si>
  <si>
    <t>R007</t>
  </si>
  <si>
    <t>failed</t>
  </si>
  <si>
    <t>R008</t>
  </si>
  <si>
    <t>R009</t>
  </si>
  <si>
    <t>R010</t>
  </si>
  <si>
    <t>R011</t>
  </si>
  <si>
    <t>rate_date</t>
  </si>
  <si>
    <t>usd_rate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</si>
</sst>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left"/>
    </xf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2" xfId="0" applyNumberFormat="1" applyBorder="1"/>
    <xf numFmtId="0" fontId="0" fillId="0" borderId="3" xfId="0" applyBorder="1"/>
    <xf numFmtId="0" fontId="0" fillId="0" borderId="4" xfId="0" applyNumberFormat="1" applyBorder="1"/>
    <xf numFmtId="0" fontId="0" fillId="0" borderId="5" xfId="0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unooz" refreshedDate="46140.765272916666" refreshedVersion="8" recordCount="31" xr:uid="{00000000-000A-0000-FFFF-FFFF00000000}">
  <cacheSource type="worksheet">
    <worksheetSource ref="A1:Z1000" sheet="cleaned_transactions"/>
  </cacheSource>
  <cacheFields count="27">
    <cacheField name="transaction_id" numFmtId="0">
      <sharedItems containsBlank="1"/>
    </cacheField>
    <cacheField name="transaction_date" numFmtId="0">
      <sharedItems containsNonDate="0" containsDate="1" containsString="0" containsBlank="1" minDate="2026-03-01T00:00:00" maxDate="2026-03-07T00:00:00"/>
    </cacheField>
    <cacheField name="merchant_name_clean" numFmtId="0">
      <sharedItems containsBlank="1" count="6">
        <s v="Alpha Mart"/>
        <s v="Beta Stores"/>
        <s v="City Pharma"/>
        <s v="Delta Travels"/>
        <s v="Eco Home"/>
        <m/>
      </sharedItems>
    </cacheField>
    <cacheField name="amount_usd" numFmtId="0">
      <sharedItems containsString="0" containsBlank="1" containsNumber="1" minValue="1512.5" maxValue="7381"/>
    </cacheField>
    <cacheField name="currency" numFmtId="0">
      <sharedItems containsBlank="1"/>
    </cacheField>
    <cacheField name="status_clean" numFmtId="0">
      <sharedItems containsBlank="1" count="4">
        <s v="Captured"/>
        <s v="Failed E05 Timeout"/>
        <s v="Chargeback"/>
        <m/>
      </sharedItems>
    </cacheField>
    <cacheField name="risk_score_clean" numFmtId="0">
      <sharedItems containsString="0" containsBlank="1" containsNumber="1" containsInteger="1" minValue="0" maxValue="86"/>
    </cacheField>
    <cacheField name="gateway_region_clean" numFmtId="0">
      <sharedItems containsBlank="1" count="5">
        <s v="APAC"/>
        <s v="MISSING"/>
        <s v="EU"/>
        <s v="US"/>
        <m/>
      </sharedItems>
    </cacheField>
    <cacheField name="user_id" numFmtId="0">
      <sharedItems containsBlank="1"/>
    </cacheField>
    <cacheField name="User Name" numFmtId="0">
      <sharedItems containsBlank="1" count="11">
        <s v="Aarav Shah"/>
        <s v="Meera Iyer"/>
        <s v="Kabir Jain"/>
        <s v="Noah Kim"/>
        <s v="Sofia Rossi"/>
        <s v="Vikram Nair"/>
        <s v="Riya Gupta"/>
        <s v="Ishaan Verma"/>
        <s v="Emma Brooks"/>
        <s v="Liam Carter"/>
        <m/>
      </sharedItems>
    </cacheField>
    <cacheField name="payment_method" numFmtId="0">
      <sharedItems containsBlank="1"/>
    </cacheField>
    <cacheField name="Account_Manager" numFmtId="0">
      <sharedItems containsBlank="1"/>
    </cacheField>
    <cacheField name="merchant_category" numFmtId="0">
      <sharedItems containsBlank="1"/>
    </cacheField>
    <cacheField name="high_value_flag" numFmtId="0">
      <sharedItems containsString="0" containsBlank="1" containsNumber="1" containsInteger="1" minValue="0" maxValue="1"/>
    </cacheField>
    <cacheField name="high_risk_flag" numFmtId="0">
      <sharedItems containsString="0" containsBlank="1" containsNumber="1" containsInteger="1" minValue="0" maxValue="1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T001"/>
    <d v="2026-03-01T00:00:00"/>
    <x v="0"/>
    <n v="4998"/>
    <s v="INR"/>
    <x v="0"/>
    <n v="62"/>
    <x v="0"/>
    <s v="U001"/>
    <x v="0"/>
    <s v="UPI"/>
    <s v="Aisha Khan"/>
    <s v="Grocery"/>
    <n v="0"/>
    <n v="0"/>
    <m/>
    <m/>
    <m/>
    <m/>
    <m/>
    <m/>
    <m/>
    <m/>
    <m/>
    <m/>
    <m/>
    <m/>
  </r>
  <r>
    <s v="T002"/>
    <d v="2026-03-01T00:00:00"/>
    <x v="0"/>
    <n v="2499"/>
    <s v="INR"/>
    <x v="0"/>
    <n v="55"/>
    <x v="1"/>
    <s v="U002"/>
    <x v="1"/>
    <s v="Card"/>
    <s v="Aisha Khan"/>
    <s v="Grocery"/>
    <n v="0"/>
    <n v="0"/>
    <m/>
    <m/>
    <m/>
    <m/>
    <m/>
    <m/>
    <m/>
    <m/>
    <m/>
    <m/>
    <m/>
    <m/>
  </r>
  <r>
    <s v="T003"/>
    <d v="2026-03-01T00:00:00"/>
    <x v="1"/>
    <n v="6069"/>
    <s v="INR"/>
    <x v="0"/>
    <n v="71"/>
    <x v="0"/>
    <s v="U003"/>
    <x v="2"/>
    <s v="NetBanking"/>
    <s v="Rohan Mehta"/>
    <s v="Electronics"/>
    <n v="1"/>
    <n v="1"/>
    <m/>
    <m/>
    <m/>
    <m/>
    <m/>
    <m/>
    <m/>
    <m/>
    <m/>
    <m/>
    <m/>
    <m/>
  </r>
  <r>
    <s v="T023"/>
    <d v="2026-03-01T00:00:00"/>
    <x v="2"/>
    <n v="5616"/>
    <s v="EUR"/>
    <x v="0"/>
    <n v="42"/>
    <x v="2"/>
    <s v="U003"/>
    <x v="2"/>
    <s v="Card"/>
    <s v="Elena Rossi"/>
    <s v="Healthcare"/>
    <n v="0"/>
    <n v="0"/>
    <m/>
    <m/>
    <m/>
    <m/>
    <m/>
    <m/>
    <m/>
    <m/>
    <m/>
    <m/>
    <m/>
    <m/>
  </r>
  <r>
    <s v="T027"/>
    <d v="2026-03-01T00:00:00"/>
    <x v="3"/>
    <n v="7200"/>
    <s v="USD"/>
    <x v="0"/>
    <n v="49"/>
    <x v="3"/>
    <s v="U007"/>
    <x v="3"/>
    <s v="Card"/>
    <s v="Marcus Lee"/>
    <s v="Travel"/>
    <n v="1"/>
    <n v="0"/>
    <m/>
    <m/>
    <m/>
    <m/>
    <m/>
    <m/>
    <m/>
    <m/>
    <m/>
    <m/>
    <m/>
    <m/>
  </r>
  <r>
    <s v="T004"/>
    <d v="2026-03-02T00:00:00"/>
    <x v="1"/>
    <n v="1920"/>
    <s v="INR"/>
    <x v="1"/>
    <n v="68"/>
    <x v="0"/>
    <s v="U004"/>
    <x v="4"/>
    <s v="Card"/>
    <s v="Rohan Mehta"/>
    <s v="Electronics"/>
    <n v="0"/>
    <n v="0"/>
    <m/>
    <m/>
    <m/>
    <m/>
    <m/>
    <m/>
    <m/>
    <m/>
    <m/>
    <m/>
    <m/>
    <m/>
  </r>
  <r>
    <s v="T005"/>
    <d v="2026-03-02T00:00:00"/>
    <x v="0"/>
    <n v="4680"/>
    <s v="INR"/>
    <x v="0"/>
    <n v="58"/>
    <x v="1"/>
    <s v="U001"/>
    <x v="0"/>
    <s v="UPI"/>
    <s v="Aisha Khan"/>
    <s v="Grocery"/>
    <n v="0"/>
    <n v="0"/>
    <m/>
    <m/>
    <m/>
    <m/>
    <m/>
    <m/>
    <m/>
    <m/>
    <m/>
    <m/>
    <m/>
    <m/>
  </r>
  <r>
    <s v="T006"/>
    <d v="2026-03-02T00:00:00"/>
    <x v="1"/>
    <n v="3300"/>
    <s v="INR"/>
    <x v="0"/>
    <n v="64"/>
    <x v="1"/>
    <s v="U005"/>
    <x v="5"/>
    <s v="Wallet"/>
    <s v="Rohan Mehta"/>
    <s v="Electronics"/>
    <n v="0"/>
    <n v="0"/>
    <m/>
    <m/>
    <m/>
    <m/>
    <m/>
    <m/>
    <m/>
    <m/>
    <m/>
    <m/>
    <m/>
    <m/>
  </r>
  <r>
    <s v="T007"/>
    <d v="2026-03-02T00:00:00"/>
    <x v="0"/>
    <n v="5400"/>
    <s v="INR"/>
    <x v="2"/>
    <n v="83"/>
    <x v="0"/>
    <s v="U006"/>
    <x v="6"/>
    <s v="Card"/>
    <s v="Aisha Khan"/>
    <s v="Grocery"/>
    <n v="1"/>
    <n v="1"/>
    <m/>
    <m/>
    <m/>
    <m/>
    <m/>
    <m/>
    <m/>
    <m/>
    <m/>
    <m/>
    <m/>
    <m/>
  </r>
  <r>
    <s v="T024"/>
    <d v="2026-03-02T00:00:00"/>
    <x v="4"/>
    <n v="6649.0000000000009"/>
    <s v="EUR"/>
    <x v="2"/>
    <n v="65"/>
    <x v="2"/>
    <s v="U004"/>
    <x v="4"/>
    <s v="Card"/>
    <s v="Nina Weber"/>
    <s v="Home"/>
    <n v="1"/>
    <n v="1"/>
    <m/>
    <m/>
    <m/>
    <m/>
    <m/>
    <m/>
    <m/>
    <m/>
    <m/>
    <m/>
    <m/>
    <m/>
  </r>
  <r>
    <s v="T028"/>
    <d v="2026-03-02T00:00:00"/>
    <x v="3"/>
    <n v="3100"/>
    <s v="USD"/>
    <x v="0"/>
    <n v="41"/>
    <x v="3"/>
    <s v="U008"/>
    <x v="7"/>
    <s v="Card"/>
    <s v="Marcus Lee"/>
    <s v="Travel"/>
    <n v="0"/>
    <n v="0"/>
    <m/>
    <m/>
    <m/>
    <m/>
    <m/>
    <m/>
    <m/>
    <m/>
    <m/>
    <m/>
    <m/>
    <m/>
  </r>
  <r>
    <s v="T008"/>
    <d v="2026-03-03T00:00:00"/>
    <x v="1"/>
    <n v="4114"/>
    <s v="INR"/>
    <x v="0"/>
    <n v="59"/>
    <x v="1"/>
    <s v="U007"/>
    <x v="3"/>
    <s v="UPI"/>
    <s v="Rohan Mehta"/>
    <s v="Electronics"/>
    <n v="0"/>
    <n v="0"/>
    <m/>
    <m/>
    <m/>
    <m/>
    <m/>
    <m/>
    <m/>
    <m/>
    <m/>
    <m/>
    <m/>
    <m/>
  </r>
  <r>
    <s v="T009"/>
    <d v="2026-03-03T00:00:00"/>
    <x v="0"/>
    <n v="1512.5"/>
    <s v="INR"/>
    <x v="0"/>
    <n v="46"/>
    <x v="0"/>
    <s v="U002"/>
    <x v="1"/>
    <s v="Wallet"/>
    <s v="Aisha Khan"/>
    <s v="Grocery"/>
    <n v="0"/>
    <n v="0"/>
    <m/>
    <m/>
    <m/>
    <m/>
    <m/>
    <m/>
    <m/>
    <m/>
    <m/>
    <m/>
    <m/>
    <m/>
  </r>
  <r>
    <s v="T010"/>
    <d v="2026-03-03T00:00:00"/>
    <x v="1"/>
    <n v="7381"/>
    <s v="INR"/>
    <x v="0"/>
    <n v="77"/>
    <x v="1"/>
    <s v="U003"/>
    <x v="2"/>
    <s v="Card"/>
    <s v="Rohan Mehta"/>
    <s v="Electronics"/>
    <n v="0"/>
    <n v="1"/>
    <m/>
    <m/>
    <m/>
    <m/>
    <m/>
    <m/>
    <m/>
    <m/>
    <m/>
    <m/>
    <m/>
    <m/>
  </r>
  <r>
    <s v="T011"/>
    <d v="2026-03-03T00:00:00"/>
    <x v="0"/>
    <n v="2359.5"/>
    <s v="INR"/>
    <x v="1"/>
    <n v="0"/>
    <x v="1"/>
    <s v="U008"/>
    <x v="7"/>
    <s v="UPI"/>
    <s v="Aisha Khan"/>
    <s v="Grocery"/>
    <n v="0"/>
    <n v="0"/>
    <m/>
    <m/>
    <m/>
    <m/>
    <m/>
    <m/>
    <m/>
    <m/>
    <m/>
    <m/>
    <m/>
    <m/>
  </r>
  <r>
    <s v="T025"/>
    <d v="2026-03-03T00:00:00"/>
    <x v="2"/>
    <n v="3024"/>
    <s v="EUR"/>
    <x v="0"/>
    <n v="38"/>
    <x v="2"/>
    <s v="U005"/>
    <x v="5"/>
    <s v="Wallet"/>
    <s v="Elena Rossi"/>
    <s v="Healthcare"/>
    <n v="0"/>
    <n v="0"/>
    <m/>
    <m/>
    <m/>
    <m/>
    <m/>
    <m/>
    <m/>
    <m/>
    <m/>
    <m/>
    <m/>
    <m/>
  </r>
  <r>
    <s v="T012"/>
    <d v="2026-03-04T00:00:00"/>
    <x v="1"/>
    <n v="3000"/>
    <s v="INR"/>
    <x v="0"/>
    <n v="61"/>
    <x v="0"/>
    <s v="U009"/>
    <x v="8"/>
    <s v="Card"/>
    <s v="Rohan Mehta"/>
    <s v="Electronics"/>
    <n v="0"/>
    <n v="0"/>
    <m/>
    <m/>
    <m/>
    <m/>
    <m/>
    <m/>
    <m/>
    <m/>
    <m/>
    <m/>
    <m/>
    <m/>
  </r>
  <r>
    <s v="T013"/>
    <d v="2026-03-04T00:00:00"/>
    <x v="0"/>
    <n v="3720"/>
    <s v="INR"/>
    <x v="0"/>
    <n v="54"/>
    <x v="0"/>
    <s v="U010"/>
    <x v="9"/>
    <s v="UPI"/>
    <s v="Aisha Khan"/>
    <s v="Grocery"/>
    <n v="0"/>
    <n v="0"/>
    <m/>
    <m/>
    <m/>
    <m/>
    <m/>
    <m/>
    <m/>
    <m/>
    <m/>
    <m/>
    <m/>
    <m/>
  </r>
  <r>
    <s v="T014"/>
    <d v="2026-03-04T00:00:00"/>
    <x v="1"/>
    <n v="5640"/>
    <s v="INR"/>
    <x v="0"/>
    <n v="73"/>
    <x v="0"/>
    <s v="U001"/>
    <x v="0"/>
    <s v="NetBanking"/>
    <s v="Rohan Mehta"/>
    <s v="Electronics"/>
    <n v="1"/>
    <n v="1"/>
    <m/>
    <m/>
    <m/>
    <m/>
    <m/>
    <m/>
    <m/>
    <m/>
    <m/>
    <m/>
    <m/>
    <m/>
  </r>
  <r>
    <s v="T015"/>
    <d v="2026-03-04T00:00:00"/>
    <x v="0"/>
    <n v="1560"/>
    <s v="INR"/>
    <x v="0"/>
    <n v="52"/>
    <x v="1"/>
    <s v="U002"/>
    <x v="1"/>
    <s v="Card"/>
    <s v="Aisha Khan"/>
    <s v="Grocery"/>
    <n v="0"/>
    <n v="0"/>
    <m/>
    <m/>
    <m/>
    <m/>
    <m/>
    <m/>
    <m/>
    <m/>
    <m/>
    <m/>
    <m/>
    <m/>
  </r>
  <r>
    <s v="T029"/>
    <d v="2026-03-04T00:00:00"/>
    <x v="3"/>
    <n v="2500"/>
    <s v="USD"/>
    <x v="2"/>
    <n v="58"/>
    <x v="3"/>
    <s v="U009"/>
    <x v="8"/>
    <s v="Wallet"/>
    <s v="Marcus Lee"/>
    <s v="Travel"/>
    <n v="0"/>
    <n v="1"/>
    <m/>
    <m/>
    <m/>
    <m/>
    <m/>
    <m/>
    <m/>
    <m/>
    <m/>
    <m/>
    <m/>
    <m/>
  </r>
  <r>
    <s v="T016"/>
    <d v="2026-03-05T00:00:00"/>
    <x v="1"/>
    <n v="2596"/>
    <s v="INR"/>
    <x v="1"/>
    <n v="69"/>
    <x v="1"/>
    <s v="U008"/>
    <x v="7"/>
    <s v="Card"/>
    <s v="Rohan Mehta"/>
    <s v="Electronics"/>
    <n v="0"/>
    <n v="0"/>
    <m/>
    <m/>
    <m/>
    <m/>
    <m/>
    <m/>
    <m/>
    <m/>
    <m/>
    <m/>
    <m/>
    <m/>
  </r>
  <r>
    <s v="T017"/>
    <d v="2026-03-05T00:00:00"/>
    <x v="1"/>
    <n v="2124"/>
    <s v="INR"/>
    <x v="1"/>
    <n v="72"/>
    <x v="0"/>
    <s v="U008"/>
    <x v="7"/>
    <s v="Card"/>
    <s v="Rohan Mehta"/>
    <s v="Electronics"/>
    <n v="0"/>
    <n v="1"/>
    <m/>
    <m/>
    <m/>
    <m/>
    <m/>
    <m/>
    <m/>
    <m/>
    <m/>
    <m/>
    <m/>
    <m/>
  </r>
  <r>
    <s v="T018"/>
    <d v="2026-03-05T00:00:00"/>
    <x v="1"/>
    <n v="1711"/>
    <s v="INR"/>
    <x v="2"/>
    <n v="86"/>
    <x v="0"/>
    <s v="U008"/>
    <x v="7"/>
    <s v="UPI"/>
    <s v="Rohan Mehta"/>
    <s v="Electronics"/>
    <n v="0"/>
    <n v="1"/>
    <m/>
    <m/>
    <m/>
    <m/>
    <m/>
    <m/>
    <m/>
    <m/>
    <m/>
    <m/>
    <m/>
    <m/>
  </r>
  <r>
    <s v="T019"/>
    <d v="2026-03-05T00:00:00"/>
    <x v="0"/>
    <n v="3068"/>
    <s v="INR"/>
    <x v="1"/>
    <n v="67"/>
    <x v="0"/>
    <s v="U008"/>
    <x v="7"/>
    <s v="Wallet"/>
    <s v="Aisha Khan"/>
    <s v="Grocery"/>
    <n v="0"/>
    <n v="0"/>
    <m/>
    <m/>
    <m/>
    <m/>
    <m/>
    <m/>
    <m/>
    <m/>
    <m/>
    <m/>
    <m/>
    <m/>
  </r>
  <r>
    <s v="T020"/>
    <d v="2026-03-05T00:00:00"/>
    <x v="0"/>
    <n v="6136"/>
    <s v="INR"/>
    <x v="0"/>
    <n v="75"/>
    <x v="0"/>
    <s v="U005"/>
    <x v="5"/>
    <s v="UPI"/>
    <s v="Aisha Khan"/>
    <s v="Grocery"/>
    <n v="1"/>
    <n v="1"/>
    <m/>
    <m/>
    <m/>
    <m/>
    <m/>
    <m/>
    <m/>
    <m/>
    <m/>
    <m/>
    <m/>
    <m/>
  </r>
  <r>
    <s v="T026"/>
    <d v="2026-03-05T00:00:00"/>
    <x v="4"/>
    <n v="3597.0000000000005"/>
    <s v="EUR"/>
    <x v="1"/>
    <n v="44"/>
    <x v="2"/>
    <s v="U006"/>
    <x v="6"/>
    <s v="NetBanking"/>
    <s v="Nina Weber"/>
    <s v="Home"/>
    <n v="0"/>
    <n v="0"/>
    <m/>
    <m/>
    <m/>
    <m/>
    <m/>
    <m/>
    <m/>
    <m/>
    <m/>
    <m/>
    <m/>
    <m/>
  </r>
  <r>
    <s v="T021"/>
    <d v="2026-03-06T00:00:00"/>
    <x v="1"/>
    <n v="3927.0000000000005"/>
    <s v="INR"/>
    <x v="0"/>
    <n v="63"/>
    <x v="1"/>
    <s v="U006"/>
    <x v="6"/>
    <s v="Card"/>
    <s v="Rohan Mehta"/>
    <s v="Electronics"/>
    <n v="0"/>
    <n v="0"/>
    <m/>
    <m/>
    <m/>
    <m/>
    <m/>
    <m/>
    <m/>
    <m/>
    <m/>
    <m/>
    <m/>
    <m/>
  </r>
  <r>
    <s v="T022"/>
    <d v="2026-03-06T00:00:00"/>
    <x v="0"/>
    <n v="4879"/>
    <s v="INR"/>
    <x v="0"/>
    <n v="60"/>
    <x v="0"/>
    <s v="U007"/>
    <x v="3"/>
    <s v="UPI"/>
    <s v="Aisha Khan"/>
    <s v="Grocery"/>
    <n v="0"/>
    <n v="0"/>
    <m/>
    <m/>
    <m/>
    <m/>
    <m/>
    <m/>
    <m/>
    <m/>
    <m/>
    <m/>
    <m/>
    <m/>
  </r>
  <r>
    <s v="T030"/>
    <d v="2026-03-06T00:00:00"/>
    <x v="3"/>
    <n v="1800"/>
    <s v="USD"/>
    <x v="1"/>
    <n v="47"/>
    <x v="3"/>
    <s v="U010"/>
    <x v="9"/>
    <s v="UPI"/>
    <s v="Marcus Lee"/>
    <s v="Travel"/>
    <n v="0"/>
    <n v="0"/>
    <m/>
    <m/>
    <m/>
    <m/>
    <m/>
    <m/>
    <m/>
    <m/>
    <m/>
    <m/>
    <m/>
    <m/>
  </r>
  <r>
    <m/>
    <m/>
    <x v="5"/>
    <m/>
    <m/>
    <x v="3"/>
    <m/>
    <x v="4"/>
    <m/>
    <x v="10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merchant_risk_summary" cacheId="21" applyNumberFormats="0" applyBorderFormats="0" applyFontFormats="0" applyPatternFormats="0" applyAlignmentFormats="0" applyWidthHeightFormats="0" dataCaption="" updatedVersion="8" compact="0" compactData="0">
  <location ref="A1:B5" firstHeaderRow="1" firstDataRow="1" firstDataCol="1"/>
  <pivotFields count="27">
    <pivotField name="transaction_id" compact="0" outline="0" multipleItemSelectionAllowed="1" showAll="0"/>
    <pivotField name="transaction_date" compact="0" numFmtId="164" outline="0" multipleItemSelectionAllowed="1" showAll="0"/>
    <pivotField name="merchant_name_clean" compact="0" outline="0" multipleItemSelectionAllowed="1" showAll="0"/>
    <pivotField name="amount_usd" dataField="1" compact="0" numFmtId="2" outline="0" multipleItemSelectionAllowed="1" showAll="0"/>
    <pivotField name="currency" compact="0" outline="0" multipleItemSelectionAllowed="1" showAll="0"/>
    <pivotField name="status_clean" axis="axisRow" compact="0" outline="0" multipleItemSelectionAllowed="1" showAll="0" sortType="ascending">
      <items count="5">
        <item x="0"/>
        <item x="2"/>
        <item x="1"/>
        <item h="1" x="3"/>
        <item t="default"/>
      </items>
    </pivotField>
    <pivotField name="risk_score_clean" compact="0" outline="0" multipleItemSelectionAllowed="1" showAll="0"/>
    <pivotField name="gateway_region_clean" compact="0" outline="0" multipleItemSelectionAllowed="1" showAll="0"/>
    <pivotField name="user_id" compact="0" outline="0" multipleItemSelectionAllowed="1" showAll="0"/>
    <pivotField name="User Name" compact="0" outline="0" multipleItemSelectionAllowed="1" showAll="0"/>
    <pivotField name="payment_method" compact="0" outline="0" multipleItemSelectionAllowed="1" showAll="0"/>
    <pivotField name="Account_Manager" compact="0" outline="0" multipleItemSelectionAllowed="1" showAll="0"/>
    <pivotField name="merchant_category" compact="0" outline="0" multipleItemSelectionAllowed="1" showAll="0"/>
    <pivotField name="high_value_flag" compact="0" outline="0" multipleItemSelectionAllowed="1" showAll="0"/>
    <pivotField name="high_risk_flag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_usd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merchant_risk_summary 2" cacheId="21" applyNumberFormats="0" applyBorderFormats="0" applyFontFormats="0" applyPatternFormats="0" applyAlignmentFormats="0" applyWidthHeightFormats="0" dataCaption="" updatedVersion="8" compact="0" compactData="0">
  <location ref="D5:E11" firstHeaderRow="1" firstDataRow="1" firstDataCol="1"/>
  <pivotFields count="27">
    <pivotField name="transaction_id" compact="0" outline="0" multipleItemSelectionAllowed="1" showAll="0"/>
    <pivotField name="transaction_date" compact="0" numFmtId="164" outline="0" multipleItemSelectionAllowed="1" showAll="0"/>
    <pivotField name="merchant_name_clean" axis="axisRow" compact="0" outline="0" multipleItemSelectionAllowed="1" showAll="0" sortType="ascending">
      <items count="7">
        <item x="0"/>
        <item x="1"/>
        <item x="2"/>
        <item x="3"/>
        <item x="4"/>
        <item h="1" x="5"/>
        <item t="default"/>
      </items>
    </pivotField>
    <pivotField name="amount_usd" dataField="1" compact="0" numFmtId="2" outline="0" multipleItemSelectionAllowed="1" showAll="0"/>
    <pivotField name="currency" compact="0" outline="0" multipleItemSelectionAllowed="1" showAll="0"/>
    <pivotField name="status_clean" compact="0" outline="0" multipleItemSelectionAllowed="1" showAll="0"/>
    <pivotField name="risk_score_clean" compact="0" outline="0" multipleItemSelectionAllowed="1" showAll="0"/>
    <pivotField name="gateway_region_clean" compact="0" outline="0" multipleItemSelectionAllowed="1" showAll="0"/>
    <pivotField name="user_id" compact="0" outline="0" multipleItemSelectionAllowed="1" showAll="0"/>
    <pivotField name="User Name" compact="0" outline="0" multipleItemSelectionAllowed="1" showAll="0"/>
    <pivotField name="payment_method" compact="0" outline="0" multipleItemSelectionAllowed="1" showAll="0"/>
    <pivotField name="Account_Manager" compact="0" outline="0" multipleItemSelectionAllowed="1" showAll="0"/>
    <pivotField name="merchant_category" compact="0" outline="0" multipleItemSelectionAllowed="1" showAll="0"/>
    <pivotField name="high_value_flag" compact="0" outline="0" multipleItemSelectionAllowed="1" showAll="0"/>
    <pivotField name="high_risk_flag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_usd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merchant_risk_summary 3" cacheId="21" applyNumberFormats="0" applyBorderFormats="0" applyFontFormats="0" applyPatternFormats="0" applyAlignmentFormats="0" applyWidthHeightFormats="0" dataCaption="" updatedVersion="8" compact="0" compactData="0">
  <location ref="G5:H10" firstHeaderRow="1" firstDataRow="1" firstDataCol="1"/>
  <pivotFields count="27">
    <pivotField name="transaction_id" compact="0" outline="0" multipleItemSelectionAllowed="1" showAll="0"/>
    <pivotField name="transaction_date" compact="0" numFmtId="164" outline="0" multipleItemSelectionAllowed="1" showAll="0"/>
    <pivotField name="merchant_name_clean" compact="0" outline="0" multipleItemSelectionAllowed="1" showAll="0"/>
    <pivotField name="amount_usd" dataField="1" compact="0" numFmtId="2" outline="0" multipleItemSelectionAllowed="1" showAll="0"/>
    <pivotField name="currency" compact="0" outline="0" multipleItemSelectionAllowed="1" showAll="0"/>
    <pivotField name="status_clean" compact="0" outline="0" multipleItemSelectionAllowed="1" showAll="0"/>
    <pivotField name="risk_score_clean" compact="0" outline="0" multipleItemSelectionAllowed="1" showAll="0"/>
    <pivotField name="gateway_region_clean" axis="axisRow" compact="0" outline="0" multipleItemSelectionAllowed="1" showAll="0" sortType="ascending">
      <items count="6">
        <item x="0"/>
        <item x="2"/>
        <item x="1"/>
        <item x="3"/>
        <item h="1" x="4"/>
        <item t="default"/>
      </items>
    </pivotField>
    <pivotField name="user_id" compact="0" outline="0" multipleItemSelectionAllowed="1" showAll="0"/>
    <pivotField name="User Name" compact="0" outline="0" multipleItemSelectionAllowed="1" showAll="0"/>
    <pivotField name="payment_method" compact="0" outline="0" multipleItemSelectionAllowed="1" showAll="0"/>
    <pivotField name="Account_Manager" compact="0" outline="0" multipleItemSelectionAllowed="1" showAll="0"/>
    <pivotField name="merchant_category" compact="0" outline="0" multipleItemSelectionAllowed="1" showAll="0"/>
    <pivotField name="high_value_flag" compact="0" outline="0" multipleItemSelectionAllowed="1" showAll="0"/>
    <pivotField name="high_risk_flag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_usd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merchant_risk_summary 4" cacheId="21" applyNumberFormats="0" applyBorderFormats="0" applyFontFormats="0" applyPatternFormats="0" applyAlignmentFormats="0" applyWidthHeightFormats="0" dataCaption="" updatedVersion="8" compact="0" compactData="0">
  <location ref="A12:B18" firstHeaderRow="1" firstDataRow="1" firstDataCol="1"/>
  <pivotFields count="27">
    <pivotField name="transaction_id" compact="0" outline="0" multipleItemSelectionAllowed="1" showAll="0"/>
    <pivotField name="transaction_date" compact="0" numFmtId="164" outline="0" multipleItemSelectionAllowed="1" showAll="0"/>
    <pivotField name="merchant_name_clean" axis="axisRow" compact="0" outline="0" multipleItemSelectionAllowed="1" showAll="0" sortType="ascending">
      <items count="7">
        <item x="0"/>
        <item x="1"/>
        <item x="2"/>
        <item x="3"/>
        <item x="4"/>
        <item h="1" x="5"/>
        <item t="default"/>
      </items>
    </pivotField>
    <pivotField name="amount_usd" compact="0" numFmtId="2" outline="0" multipleItemSelectionAllowed="1" showAll="0"/>
    <pivotField name="currency" compact="0" outline="0" multipleItemSelectionAllowed="1" showAll="0"/>
    <pivotField name="status_clean" compact="0" outline="0" multipleItemSelectionAllowed="1" showAll="0"/>
    <pivotField name="risk_score_clean" compact="0" outline="0" multipleItemSelectionAllowed="1" showAll="0"/>
    <pivotField name="gateway_region_clean" compact="0" outline="0" multipleItemSelectionAllowed="1" showAll="0"/>
    <pivotField name="user_id" compact="0" outline="0" multipleItemSelectionAllowed="1" showAll="0"/>
    <pivotField name="User Name" compact="0" outline="0" multipleItemSelectionAllowed="1" showAll="0"/>
    <pivotField name="payment_method" compact="0" outline="0" multipleItemSelectionAllowed="1" showAll="0"/>
    <pivotField name="Account_Manager" compact="0" outline="0" multipleItemSelectionAllowed="1" showAll="0"/>
    <pivotField name="merchant_category" compact="0" outline="0" multipleItemSelectionAllowed="1" showAll="0"/>
    <pivotField name="high_value_flag" dataField="1" compact="0" outline="0" multipleItemSelectionAllowed="1" showAll="0"/>
    <pivotField name="high_risk_flag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high_value_flag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merchant_risk_summary 5" cacheId="21" applyNumberFormats="0" applyBorderFormats="0" applyFontFormats="0" applyPatternFormats="0" applyAlignmentFormats="0" applyWidthHeightFormats="0" dataCaption="" updatedVersion="8" compact="0" compactData="0">
  <location ref="D17:E28" firstHeaderRow="1" firstDataRow="1" firstDataCol="1"/>
  <pivotFields count="27">
    <pivotField name="transaction_id" compact="0" outline="0" multipleItemSelectionAllowed="1" showAll="0"/>
    <pivotField name="transaction_date" compact="0" numFmtId="164" outline="0" multipleItemSelectionAllowed="1" showAll="0"/>
    <pivotField name="merchant_name_clean" compact="0" outline="0" multipleItemSelectionAllowed="1" showAll="0"/>
    <pivotField name="amount_usd" compact="0" numFmtId="2" outline="0" multipleItemSelectionAllowed="1" showAll="0"/>
    <pivotField name="currency" compact="0" outline="0" multipleItemSelectionAllowed="1" showAll="0"/>
    <pivotField name="status_clean" compact="0" outline="0" multipleItemSelectionAllowed="1" showAll="0"/>
    <pivotField name="risk_score_clean" compact="0" outline="0" multipleItemSelectionAllowed="1" showAll="0"/>
    <pivotField name="gateway_region_clean" compact="0" outline="0" multipleItemSelectionAllowed="1" showAll="0"/>
    <pivotField name="user_id" compact="0" outline="0" multipleItemSelectionAllowed="1" showAll="0"/>
    <pivotField name="User Name" axis="axisRow" compact="0" outline="0" multipleItemSelectionAllowed="1" showAll="0" sortType="ascending">
      <items count="12">
        <item x="0"/>
        <item x="8"/>
        <item x="7"/>
        <item x="2"/>
        <item x="9"/>
        <item x="1"/>
        <item x="3"/>
        <item x="6"/>
        <item x="4"/>
        <item x="5"/>
        <item h="1" x="10"/>
        <item t="default"/>
      </items>
    </pivotField>
    <pivotField name="payment_method" compact="0" outline="0" multipleItemSelectionAllowed="1" showAll="0"/>
    <pivotField name="Account_Manager" compact="0" outline="0" multipleItemSelectionAllowed="1" showAll="0"/>
    <pivotField name="merchant_category" compact="0" outline="0" multipleItemSelectionAllowed="1" showAll="0"/>
    <pivotField name="high_value_flag" dataField="1" compact="0" outline="0" multipleItemSelectionAllowed="1" showAll="0"/>
    <pivotField name="high_risk_flag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high_value_flag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merchant_risk_summary 6" cacheId="21" applyNumberFormats="0" applyBorderFormats="0" applyFontFormats="0" applyPatternFormats="0" applyAlignmentFormats="0" applyWidthHeightFormats="0" dataCaption="" updatedVersion="8" compact="0" compactData="0">
  <location ref="A22:B28" firstHeaderRow="1" firstDataRow="1" firstDataCol="1"/>
  <pivotFields count="27">
    <pivotField name="transaction_id" compact="0" outline="0" multipleItemSelectionAllowed="1" showAll="0"/>
    <pivotField name="transaction_date" compact="0" numFmtId="164" outline="0" multipleItemSelectionAllowed="1" showAll="0"/>
    <pivotField name="merchant_name_clean" axis="axisRow" compact="0" outline="0" multipleItemSelectionAllowed="1" showAll="0" sortType="ascending">
      <items count="7">
        <item x="0"/>
        <item x="1"/>
        <item x="2"/>
        <item x="3"/>
        <item x="4"/>
        <item h="1" x="5"/>
        <item t="default"/>
      </items>
    </pivotField>
    <pivotField name="amount_usd" compact="0" numFmtId="2" outline="0" multipleItemSelectionAllowed="1" showAll="0"/>
    <pivotField name="currency" compact="0" outline="0" multipleItemSelectionAllowed="1" showAll="0"/>
    <pivotField name="status_clean" compact="0" outline="0" multipleItemSelectionAllowed="1" showAll="0"/>
    <pivotField name="risk_score_clean" compact="0" outline="0" multipleItemSelectionAllowed="1" showAll="0"/>
    <pivotField name="gateway_region_clean" compact="0" outline="0" multipleItemSelectionAllowed="1" showAll="0"/>
    <pivotField name="user_id" compact="0" outline="0" multipleItemSelectionAllowed="1" showAll="0"/>
    <pivotField name="User Name" compact="0" outline="0" multipleItemSelectionAllowed="1" showAll="0"/>
    <pivotField name="payment_method" compact="0" outline="0" multipleItemSelectionAllowed="1" showAll="0"/>
    <pivotField name="Account_Manager" compact="0" outline="0" multipleItemSelectionAllowed="1" showAll="0"/>
    <pivotField name="merchant_category" compact="0" outline="0" multipleItemSelectionAllowed="1" showAll="0"/>
    <pivotField name="high_value_flag" compact="0" outline="0" multipleItemSelectionAllowed="1" showAll="0"/>
    <pivotField name="high_risk_flag" dataField="1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high_risk_flag" fld="1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1"/>
  <sheetViews>
    <sheetView workbookViewId="0">
      <selection activeCell="E35" sqref="E35"/>
    </sheetView>
  </sheetViews>
  <sheetFormatPr defaultColWidth="12.5703125" defaultRowHeight="15.75" customHeight="1" x14ac:dyDescent="0.2"/>
  <cols>
    <col min="1" max="1" width="13.85546875" bestFit="1" customWidth="1"/>
    <col min="2" max="2" width="16.140625" bestFit="1" customWidth="1"/>
    <col min="3" max="3" width="22.140625" bestFit="1" customWidth="1"/>
    <col min="4" max="4" width="12" bestFit="1" customWidth="1"/>
    <col min="5" max="5" width="17.28515625" bestFit="1" customWidth="1"/>
    <col min="6" max="6" width="16.140625" bestFit="1" customWidth="1"/>
    <col min="7" max="7" width="22" bestFit="1" customWidth="1"/>
    <col min="8" max="8" width="7.5703125" bestFit="1" customWidth="1"/>
    <col min="9" max="9" width="12.85546875" bestFit="1" customWidth="1"/>
    <col min="10" max="10" width="16.85546875" bestFit="1" customWidth="1"/>
    <col min="11" max="11" width="17.5703125" bestFit="1" customWidth="1"/>
    <col min="12" max="12" width="18.7109375" bestFit="1" customWidth="1"/>
    <col min="13" max="13" width="15.5703125" bestFit="1" customWidth="1"/>
    <col min="14" max="14" width="13.7109375" bestFit="1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2" t="s">
        <v>15</v>
      </c>
      <c r="P1" s="2" t="s">
        <v>15</v>
      </c>
      <c r="Q1" s="2" t="s">
        <v>15</v>
      </c>
      <c r="R1" s="2" t="s">
        <v>15</v>
      </c>
      <c r="S1" s="2" t="s">
        <v>15</v>
      </c>
      <c r="T1" s="2" t="s">
        <v>15</v>
      </c>
      <c r="U1" s="2" t="s">
        <v>15</v>
      </c>
      <c r="V1" s="2" t="s">
        <v>15</v>
      </c>
      <c r="W1" s="2" t="s">
        <v>15</v>
      </c>
      <c r="X1" s="2" t="s">
        <v>15</v>
      </c>
      <c r="Y1" s="2" t="s">
        <v>15</v>
      </c>
      <c r="Z1" s="2" t="s">
        <v>15</v>
      </c>
    </row>
    <row r="2" spans="1:26" ht="12.75" x14ac:dyDescent="0.2">
      <c r="A2" s="2" t="s">
        <v>16</v>
      </c>
      <c r="B2" s="3">
        <v>46082</v>
      </c>
      <c r="C2" s="2" t="s">
        <v>17</v>
      </c>
      <c r="D2" s="4">
        <v>4998</v>
      </c>
      <c r="E2" s="2" t="s">
        <v>19</v>
      </c>
      <c r="F2" s="5">
        <v>62</v>
      </c>
      <c r="G2" s="2" t="s">
        <v>20</v>
      </c>
      <c r="H2" s="2" t="s">
        <v>21</v>
      </c>
      <c r="I2" s="2" t="str">
        <f>VLOOKUP(H2, users!$A$2:$B$11, 2, FALSE)</f>
        <v>Aarav Shah</v>
      </c>
      <c r="J2" s="2" t="s">
        <v>22</v>
      </c>
      <c r="K2" s="2" t="str">
        <f>VLOOKUP(C2, merchant_master!$B$2:$C$6, 2, FALSE)</f>
        <v>Aisha Khan</v>
      </c>
      <c r="L2" s="2" t="str">
        <f>VLOOKUP(C2, merchant_master!$B$2:$D$6, 3, FALSE)</f>
        <v>Grocery</v>
      </c>
      <c r="M2" s="2">
        <f>IF(OR(AND(G2="APAC", D2&gt;5000),AND(G2="EU", D2&gt;6000),AND(G2="US", D2&gt;7000)), 1, 0)</f>
        <v>0</v>
      </c>
      <c r="N2" s="2">
        <f>IF(OR(F2&gt;=70, E2="Chargeback"), 1, 0)</f>
        <v>0</v>
      </c>
    </row>
    <row r="3" spans="1:26" ht="12.75" x14ac:dyDescent="0.2">
      <c r="A3" s="2" t="s">
        <v>23</v>
      </c>
      <c r="B3" s="3">
        <v>46082</v>
      </c>
      <c r="C3" s="2" t="s">
        <v>17</v>
      </c>
      <c r="D3" s="4">
        <v>2499</v>
      </c>
      <c r="E3" s="2" t="s">
        <v>19</v>
      </c>
      <c r="F3" s="5">
        <v>55</v>
      </c>
      <c r="G3" s="2" t="s">
        <v>24</v>
      </c>
      <c r="H3" s="2" t="s">
        <v>25</v>
      </c>
      <c r="I3" s="2" t="str">
        <f>VLOOKUP(H3, users!$A$2:$B$11, 2, FALSE)</f>
        <v>Meera Iyer</v>
      </c>
      <c r="J3" s="2" t="s">
        <v>26</v>
      </c>
      <c r="K3" s="2" t="str">
        <f>VLOOKUP(C3, merchant_master!$B$2:$C$6, 2, FALSE)</f>
        <v>Aisha Khan</v>
      </c>
      <c r="L3" s="2" t="str">
        <f>VLOOKUP(C3, merchant_master!$B$2:$D$6, 3, FALSE)</f>
        <v>Grocery</v>
      </c>
      <c r="M3" s="2">
        <f>IF(OR(AND(G3="APAC", D3&gt;5000),AND(G3="EU", D3&gt;6000),AND(G3="US", D3&gt;7000)), 1, 0)</f>
        <v>0</v>
      </c>
      <c r="N3" s="2">
        <f>IF(OR(F3&gt;=70, E3="Chargeback"), 1, 0)</f>
        <v>0</v>
      </c>
    </row>
    <row r="4" spans="1:26" ht="12.75" x14ac:dyDescent="0.2">
      <c r="A4" s="2" t="s">
        <v>27</v>
      </c>
      <c r="B4" s="3">
        <v>46082</v>
      </c>
      <c r="C4" s="2" t="s">
        <v>28</v>
      </c>
      <c r="D4" s="4">
        <v>6069</v>
      </c>
      <c r="E4" s="2" t="s">
        <v>19</v>
      </c>
      <c r="F4" s="5">
        <v>71</v>
      </c>
      <c r="G4" s="2" t="s">
        <v>20</v>
      </c>
      <c r="H4" s="2" t="s">
        <v>29</v>
      </c>
      <c r="I4" s="2" t="str">
        <f>VLOOKUP(H4, users!$A$2:$B$11, 2, FALSE)</f>
        <v>Kabir Jain</v>
      </c>
      <c r="J4" s="2" t="s">
        <v>30</v>
      </c>
      <c r="K4" s="2" t="str">
        <f>VLOOKUP(C4, merchant_master!$B$2:$C$6, 2, FALSE)</f>
        <v>Rohan Mehta</v>
      </c>
      <c r="L4" s="2" t="str">
        <f>VLOOKUP(C4, merchant_master!$B$2:$D$6, 3, FALSE)</f>
        <v>Electronics</v>
      </c>
      <c r="M4" s="2">
        <f>IF(OR(AND(G4="APAC", D4&gt;5000),AND(G4="EU", D4&gt;6000),AND(G4="US", D4&gt;7000)), 1, 0)</f>
        <v>1</v>
      </c>
      <c r="N4" s="2">
        <f>IF(OR(F4&gt;=70, E4="Chargeback"), 1, 0)</f>
        <v>1</v>
      </c>
    </row>
    <row r="5" spans="1:26" ht="12.75" x14ac:dyDescent="0.2">
      <c r="A5" s="2" t="s">
        <v>60</v>
      </c>
      <c r="B5" s="3">
        <v>46082</v>
      </c>
      <c r="C5" s="2" t="s">
        <v>61</v>
      </c>
      <c r="D5" s="4">
        <v>5616</v>
      </c>
      <c r="E5" s="2" t="s">
        <v>19</v>
      </c>
      <c r="F5" s="5">
        <v>42</v>
      </c>
      <c r="G5" s="2" t="s">
        <v>63</v>
      </c>
      <c r="H5" s="2" t="s">
        <v>29</v>
      </c>
      <c r="I5" s="2" t="str">
        <f>VLOOKUP(H5, users!$A$2:$B$11, 2, FALSE)</f>
        <v>Kabir Jain</v>
      </c>
      <c r="J5" s="2" t="s">
        <v>26</v>
      </c>
      <c r="K5" s="2" t="str">
        <f>VLOOKUP(C5, merchant_master!$B$2:$C$6, 2, FALSE)</f>
        <v>Elena Rossi</v>
      </c>
      <c r="L5" s="2" t="str">
        <f>VLOOKUP(C5, merchant_master!$B$2:$D$6, 3, FALSE)</f>
        <v>Healthcare</v>
      </c>
      <c r="M5" s="2">
        <f>IF(OR(AND(G5="APAC", D5&gt;5000),AND(G5="EU", D5&gt;6000),AND(G5="US", D5&gt;7000)), 1, 0)</f>
        <v>0</v>
      </c>
      <c r="N5" s="2">
        <f>IF(OR(F5&gt;=70, E5="Chargeback"), 1, 0)</f>
        <v>0</v>
      </c>
    </row>
    <row r="6" spans="1:26" ht="12.75" x14ac:dyDescent="0.2">
      <c r="A6" s="2" t="s">
        <v>68</v>
      </c>
      <c r="B6" s="3">
        <v>46082</v>
      </c>
      <c r="C6" s="2" t="s">
        <v>69</v>
      </c>
      <c r="D6" s="4">
        <v>7200</v>
      </c>
      <c r="E6" s="2" t="s">
        <v>19</v>
      </c>
      <c r="F6" s="5">
        <v>49</v>
      </c>
      <c r="G6" s="2" t="s">
        <v>71</v>
      </c>
      <c r="H6" s="2" t="s">
        <v>42</v>
      </c>
      <c r="I6" s="2" t="str">
        <f>VLOOKUP(H6, users!$A$2:$B$11, 2, FALSE)</f>
        <v>Noah Kim</v>
      </c>
      <c r="J6" s="2" t="s">
        <v>26</v>
      </c>
      <c r="K6" s="2" t="str">
        <f>VLOOKUP(C6, merchant_master!$B$2:$C$6, 2, FALSE)</f>
        <v>Marcus Lee</v>
      </c>
      <c r="L6" s="2" t="str">
        <f>VLOOKUP(C6, merchant_master!$B$2:$D$6, 3, FALSE)</f>
        <v>Travel</v>
      </c>
      <c r="M6" s="2">
        <f>IF(OR(AND(G6="APAC", D6&gt;5000),AND(G6="EU", D6&gt;6000),AND(G6="US", D6&gt;7000)), 1, 0)</f>
        <v>1</v>
      </c>
      <c r="N6" s="2">
        <f>IF(OR(F6&gt;=70, E6="Chargeback"), 1, 0)</f>
        <v>0</v>
      </c>
    </row>
    <row r="7" spans="1:26" ht="12.75" x14ac:dyDescent="0.2">
      <c r="A7" s="2" t="s">
        <v>31</v>
      </c>
      <c r="B7" s="3">
        <v>46083</v>
      </c>
      <c r="C7" s="2" t="s">
        <v>28</v>
      </c>
      <c r="D7" s="4">
        <v>1920</v>
      </c>
      <c r="E7" s="2" t="s">
        <v>32</v>
      </c>
      <c r="F7" s="5">
        <v>68</v>
      </c>
      <c r="G7" s="2" t="s">
        <v>20</v>
      </c>
      <c r="H7" s="2" t="s">
        <v>33</v>
      </c>
      <c r="I7" s="2" t="str">
        <f>VLOOKUP(H7, users!$A$2:$B$11, 2, FALSE)</f>
        <v>Sofia Rossi</v>
      </c>
      <c r="J7" s="2" t="s">
        <v>26</v>
      </c>
      <c r="K7" s="2" t="str">
        <f>VLOOKUP(C7, merchant_master!$B$2:$C$6, 2, FALSE)</f>
        <v>Rohan Mehta</v>
      </c>
      <c r="L7" s="2" t="str">
        <f>VLOOKUP(C7, merchant_master!$B$2:$D$6, 3, FALSE)</f>
        <v>Electronics</v>
      </c>
      <c r="M7" s="2">
        <f>IF(OR(AND(G7="APAC", D7&gt;5000),AND(G7="EU", D7&gt;6000),AND(G7="US", D7&gt;7000)), 1, 0)</f>
        <v>0</v>
      </c>
      <c r="N7" s="2">
        <f>IF(OR(F7&gt;=70, E7="Chargeback"), 1, 0)</f>
        <v>0</v>
      </c>
    </row>
    <row r="8" spans="1:26" ht="12.75" x14ac:dyDescent="0.2">
      <c r="A8" s="2" t="s">
        <v>34</v>
      </c>
      <c r="B8" s="3">
        <v>46083</v>
      </c>
      <c r="C8" s="2" t="s">
        <v>17</v>
      </c>
      <c r="D8" s="4">
        <v>4680</v>
      </c>
      <c r="E8" s="2" t="s">
        <v>19</v>
      </c>
      <c r="F8" s="5">
        <v>58</v>
      </c>
      <c r="G8" s="2" t="s">
        <v>24</v>
      </c>
      <c r="H8" s="2" t="s">
        <v>21</v>
      </c>
      <c r="I8" s="2" t="str">
        <f>VLOOKUP(H8, users!$A$2:$B$11, 2, FALSE)</f>
        <v>Aarav Shah</v>
      </c>
      <c r="J8" s="2" t="s">
        <v>22</v>
      </c>
      <c r="K8" s="2" t="str">
        <f>VLOOKUP(C8, merchant_master!$B$2:$C$6, 2, FALSE)</f>
        <v>Aisha Khan</v>
      </c>
      <c r="L8" s="2" t="str">
        <f>VLOOKUP(C8, merchant_master!$B$2:$D$6, 3, FALSE)</f>
        <v>Grocery</v>
      </c>
      <c r="M8" s="2">
        <f>IF(OR(AND(G8="APAC", D8&gt;5000),AND(G8="EU", D8&gt;6000),AND(G8="US", D8&gt;7000)), 1, 0)</f>
        <v>0</v>
      </c>
      <c r="N8" s="2">
        <f>IF(OR(F8&gt;=70, E8="Chargeback"), 1, 0)</f>
        <v>0</v>
      </c>
    </row>
    <row r="9" spans="1:26" ht="12.75" x14ac:dyDescent="0.2">
      <c r="A9" s="2" t="s">
        <v>35</v>
      </c>
      <c r="B9" s="3">
        <v>46083</v>
      </c>
      <c r="C9" s="2" t="s">
        <v>28</v>
      </c>
      <c r="D9" s="4">
        <v>3300</v>
      </c>
      <c r="E9" s="2" t="s">
        <v>19</v>
      </c>
      <c r="F9" s="5">
        <v>64</v>
      </c>
      <c r="G9" s="2" t="s">
        <v>24</v>
      </c>
      <c r="H9" s="2" t="s">
        <v>36</v>
      </c>
      <c r="I9" s="2" t="str">
        <f>VLOOKUP(H9, users!$A$2:$B$11, 2, FALSE)</f>
        <v>Vikram Nair</v>
      </c>
      <c r="J9" s="2" t="s">
        <v>37</v>
      </c>
      <c r="K9" s="2" t="str">
        <f>VLOOKUP(C9, merchant_master!$B$2:$C$6, 2, FALSE)</f>
        <v>Rohan Mehta</v>
      </c>
      <c r="L9" s="2" t="str">
        <f>VLOOKUP(C9, merchant_master!$B$2:$D$6, 3, FALSE)</f>
        <v>Electronics</v>
      </c>
      <c r="M9" s="2">
        <f>IF(OR(AND(G9="APAC", D9&gt;5000),AND(G9="EU", D9&gt;6000),AND(G9="US", D9&gt;7000)), 1, 0)</f>
        <v>0</v>
      </c>
      <c r="N9" s="2">
        <f>IF(OR(F9&gt;=70, E9="Chargeback"), 1, 0)</f>
        <v>0</v>
      </c>
    </row>
    <row r="10" spans="1:26" ht="12.75" x14ac:dyDescent="0.2">
      <c r="A10" s="2" t="s">
        <v>38</v>
      </c>
      <c r="B10" s="3">
        <v>46083</v>
      </c>
      <c r="C10" s="2" t="s">
        <v>17</v>
      </c>
      <c r="D10" s="4">
        <v>5400</v>
      </c>
      <c r="E10" s="2" t="s">
        <v>39</v>
      </c>
      <c r="F10" s="5">
        <v>83</v>
      </c>
      <c r="G10" s="2" t="s">
        <v>20</v>
      </c>
      <c r="H10" s="2" t="s">
        <v>40</v>
      </c>
      <c r="I10" s="2" t="str">
        <f>VLOOKUP(H10, users!$A$2:$B$11, 2, FALSE)</f>
        <v>Riya Gupta</v>
      </c>
      <c r="J10" s="2" t="s">
        <v>26</v>
      </c>
      <c r="K10" s="2" t="str">
        <f>VLOOKUP(C10, merchant_master!$B$2:$C$6, 2, FALSE)</f>
        <v>Aisha Khan</v>
      </c>
      <c r="L10" s="2" t="str">
        <f>VLOOKUP(C10, merchant_master!$B$2:$D$6, 3, FALSE)</f>
        <v>Grocery</v>
      </c>
      <c r="M10" s="2">
        <f>IF(OR(AND(G10="APAC", D10&gt;5000),AND(G10="EU", D10&gt;6000),AND(G10="US", D10&gt;7000)), 1, 0)</f>
        <v>1</v>
      </c>
      <c r="N10" s="2">
        <f>IF(OR(F10&gt;=70, E10="Chargeback"), 1, 0)</f>
        <v>1</v>
      </c>
    </row>
    <row r="11" spans="1:26" ht="12.75" x14ac:dyDescent="0.2">
      <c r="A11" s="2" t="s">
        <v>64</v>
      </c>
      <c r="B11" s="3">
        <v>46083</v>
      </c>
      <c r="C11" s="2" t="s">
        <v>65</v>
      </c>
      <c r="D11" s="4">
        <v>6649.0000000000009</v>
      </c>
      <c r="E11" s="2" t="s">
        <v>39</v>
      </c>
      <c r="F11" s="5">
        <v>65</v>
      </c>
      <c r="G11" s="2" t="s">
        <v>63</v>
      </c>
      <c r="H11" s="2" t="s">
        <v>33</v>
      </c>
      <c r="I11" s="2" t="str">
        <f>VLOOKUP(H11, users!$A$2:$B$11, 2, FALSE)</f>
        <v>Sofia Rossi</v>
      </c>
      <c r="J11" s="2" t="s">
        <v>26</v>
      </c>
      <c r="K11" s="2" t="str">
        <f>VLOOKUP(C11, merchant_master!$B$2:$C$6, 2, FALSE)</f>
        <v>Nina Weber</v>
      </c>
      <c r="L11" s="2" t="str">
        <f>VLOOKUP(C11, merchant_master!$B$2:$D$6, 3, FALSE)</f>
        <v>Home</v>
      </c>
      <c r="M11" s="2">
        <f>IF(OR(AND(G11="APAC", D11&gt;5000),AND(G11="EU", D11&gt;6000),AND(G11="US", D11&gt;7000)), 1, 0)</f>
        <v>1</v>
      </c>
      <c r="N11" s="2">
        <f>IF(OR(F11&gt;=70, E11="Chargeback"), 1, 0)</f>
        <v>1</v>
      </c>
    </row>
    <row r="12" spans="1:26" ht="12.75" x14ac:dyDescent="0.2">
      <c r="A12" s="2" t="s">
        <v>72</v>
      </c>
      <c r="B12" s="3">
        <v>46083</v>
      </c>
      <c r="C12" s="2" t="s">
        <v>69</v>
      </c>
      <c r="D12" s="4">
        <v>3100</v>
      </c>
      <c r="E12" s="2" t="s">
        <v>19</v>
      </c>
      <c r="F12" s="5">
        <v>41</v>
      </c>
      <c r="G12" s="2" t="s">
        <v>71</v>
      </c>
      <c r="H12" s="2" t="s">
        <v>46</v>
      </c>
      <c r="I12" s="2" t="str">
        <f>VLOOKUP(H12, users!$A$2:$B$11, 2, FALSE)</f>
        <v>Ishaan Verma</v>
      </c>
      <c r="J12" s="2" t="s">
        <v>26</v>
      </c>
      <c r="K12" s="2" t="str">
        <f>VLOOKUP(C12, merchant_master!$B$2:$C$6, 2, FALSE)</f>
        <v>Marcus Lee</v>
      </c>
      <c r="L12" s="2" t="str">
        <f>VLOOKUP(C12, merchant_master!$B$2:$D$6, 3, FALSE)</f>
        <v>Travel</v>
      </c>
      <c r="M12" s="2">
        <f>IF(OR(AND(G12="APAC", D12&gt;5000),AND(G12="EU", D12&gt;6000),AND(G12="US", D12&gt;7000)), 1, 0)</f>
        <v>0</v>
      </c>
      <c r="N12" s="2">
        <f>IF(OR(F12&gt;=70, E12="Chargeback"), 1, 0)</f>
        <v>0</v>
      </c>
    </row>
    <row r="13" spans="1:26" ht="12.75" x14ac:dyDescent="0.2">
      <c r="A13" s="2" t="s">
        <v>41</v>
      </c>
      <c r="B13" s="3">
        <v>46084</v>
      </c>
      <c r="C13" s="2" t="s">
        <v>28</v>
      </c>
      <c r="D13" s="4">
        <v>4114</v>
      </c>
      <c r="E13" s="2" t="s">
        <v>19</v>
      </c>
      <c r="F13" s="5">
        <v>59</v>
      </c>
      <c r="G13" s="2" t="s">
        <v>24</v>
      </c>
      <c r="H13" s="2" t="s">
        <v>42</v>
      </c>
      <c r="I13" s="2" t="str">
        <f>VLOOKUP(H13, users!$A$2:$B$11, 2, FALSE)</f>
        <v>Noah Kim</v>
      </c>
      <c r="J13" s="2" t="s">
        <v>22</v>
      </c>
      <c r="K13" s="2" t="str">
        <f>VLOOKUP(C13, merchant_master!$B$2:$C$6, 2, FALSE)</f>
        <v>Rohan Mehta</v>
      </c>
      <c r="L13" s="2" t="str">
        <f>VLOOKUP(C13, merchant_master!$B$2:$D$6, 3, FALSE)</f>
        <v>Electronics</v>
      </c>
      <c r="M13" s="2">
        <f>IF(OR(AND(G13="APAC", D13&gt;5000),AND(G13="EU", D13&gt;6000),AND(G13="US", D13&gt;7000)), 1, 0)</f>
        <v>0</v>
      </c>
      <c r="N13" s="2">
        <f>IF(OR(F13&gt;=70, E13="Chargeback"), 1, 0)</f>
        <v>0</v>
      </c>
    </row>
    <row r="14" spans="1:26" ht="12.75" x14ac:dyDescent="0.2">
      <c r="A14" s="2" t="s">
        <v>43</v>
      </c>
      <c r="B14" s="3">
        <v>46084</v>
      </c>
      <c r="C14" s="2" t="s">
        <v>17</v>
      </c>
      <c r="D14" s="4">
        <v>1512.5</v>
      </c>
      <c r="E14" s="2" t="s">
        <v>19</v>
      </c>
      <c r="F14" s="5">
        <v>46</v>
      </c>
      <c r="G14" s="2" t="s">
        <v>20</v>
      </c>
      <c r="H14" s="2" t="s">
        <v>25</v>
      </c>
      <c r="I14" s="2" t="str">
        <f>VLOOKUP(H14, users!$A$2:$B$11, 2, FALSE)</f>
        <v>Meera Iyer</v>
      </c>
      <c r="J14" s="2" t="s">
        <v>37</v>
      </c>
      <c r="K14" s="2" t="str">
        <f>VLOOKUP(C14, merchant_master!$B$2:$C$6, 2, FALSE)</f>
        <v>Aisha Khan</v>
      </c>
      <c r="L14" s="2" t="str">
        <f>VLOOKUP(C14, merchant_master!$B$2:$D$6, 3, FALSE)</f>
        <v>Grocery</v>
      </c>
      <c r="M14" s="2">
        <f>IF(OR(AND(G14="APAC", D14&gt;5000),AND(G14="EU", D14&gt;6000),AND(G14="US", D14&gt;7000)), 1, 0)</f>
        <v>0</v>
      </c>
      <c r="N14" s="2">
        <f>IF(OR(F14&gt;=70, E14="Chargeback"), 1, 0)</f>
        <v>0</v>
      </c>
    </row>
    <row r="15" spans="1:26" ht="12.75" x14ac:dyDescent="0.2">
      <c r="A15" s="2" t="s">
        <v>44</v>
      </c>
      <c r="B15" s="3">
        <v>46084</v>
      </c>
      <c r="C15" s="2" t="s">
        <v>28</v>
      </c>
      <c r="D15" s="4">
        <v>7381</v>
      </c>
      <c r="E15" s="2" t="s">
        <v>19</v>
      </c>
      <c r="F15" s="5">
        <v>77</v>
      </c>
      <c r="G15" s="2" t="s">
        <v>24</v>
      </c>
      <c r="H15" s="2" t="s">
        <v>29</v>
      </c>
      <c r="I15" s="2" t="str">
        <f>VLOOKUP(H15, users!$A$2:$B$11, 2, FALSE)</f>
        <v>Kabir Jain</v>
      </c>
      <c r="J15" s="2" t="s">
        <v>26</v>
      </c>
      <c r="K15" s="2" t="str">
        <f>VLOOKUP(C15, merchant_master!$B$2:$C$6, 2, FALSE)</f>
        <v>Rohan Mehta</v>
      </c>
      <c r="L15" s="2" t="str">
        <f>VLOOKUP(C15, merchant_master!$B$2:$D$6, 3, FALSE)</f>
        <v>Electronics</v>
      </c>
      <c r="M15" s="2">
        <f>IF(OR(AND(G15="APAC", D15&gt;5000),AND(G15="EU", D15&gt;6000),AND(G15="US", D15&gt;7000)), 1, 0)</f>
        <v>0</v>
      </c>
      <c r="N15" s="2">
        <f>IF(OR(F15&gt;=70, E15="Chargeback"), 1, 0)</f>
        <v>1</v>
      </c>
    </row>
    <row r="16" spans="1:26" ht="12.75" x14ac:dyDescent="0.2">
      <c r="A16" s="2" t="s">
        <v>45</v>
      </c>
      <c r="B16" s="3">
        <v>46084</v>
      </c>
      <c r="C16" s="2" t="s">
        <v>17</v>
      </c>
      <c r="D16" s="4">
        <v>2359.5</v>
      </c>
      <c r="E16" s="2" t="s">
        <v>32</v>
      </c>
      <c r="F16" s="5">
        <v>0</v>
      </c>
      <c r="G16" s="2" t="s">
        <v>24</v>
      </c>
      <c r="H16" s="2" t="s">
        <v>46</v>
      </c>
      <c r="I16" s="2" t="str">
        <f>VLOOKUP(H16, users!$A$2:$B$11, 2, FALSE)</f>
        <v>Ishaan Verma</v>
      </c>
      <c r="J16" s="2" t="s">
        <v>22</v>
      </c>
      <c r="K16" s="2" t="str">
        <f>VLOOKUP(C16, merchant_master!$B$2:$C$6, 2, FALSE)</f>
        <v>Aisha Khan</v>
      </c>
      <c r="L16" s="2" t="str">
        <f>VLOOKUP(C16, merchant_master!$B$2:$D$6, 3, FALSE)</f>
        <v>Grocery</v>
      </c>
      <c r="M16" s="2">
        <f>IF(OR(AND(G16="APAC", D16&gt;5000),AND(G16="EU", D16&gt;6000),AND(G16="US", D16&gt;7000)), 1, 0)</f>
        <v>0</v>
      </c>
      <c r="N16" s="2">
        <f>IF(OR(F16&gt;=70, E16="Chargeback"), 1, 0)</f>
        <v>0</v>
      </c>
    </row>
    <row r="17" spans="1:14" ht="12.75" x14ac:dyDescent="0.2">
      <c r="A17" s="2" t="s">
        <v>66</v>
      </c>
      <c r="B17" s="3">
        <v>46084</v>
      </c>
      <c r="C17" s="2" t="s">
        <v>61</v>
      </c>
      <c r="D17" s="4">
        <v>3024</v>
      </c>
      <c r="E17" s="2" t="s">
        <v>19</v>
      </c>
      <c r="F17" s="5">
        <v>38</v>
      </c>
      <c r="G17" s="2" t="s">
        <v>63</v>
      </c>
      <c r="H17" s="2" t="s">
        <v>36</v>
      </c>
      <c r="I17" s="2" t="str">
        <f>VLOOKUP(H17, users!$A$2:$B$11, 2, FALSE)</f>
        <v>Vikram Nair</v>
      </c>
      <c r="J17" s="2" t="s">
        <v>37</v>
      </c>
      <c r="K17" s="2" t="str">
        <f>VLOOKUP(C17, merchant_master!$B$2:$C$6, 2, FALSE)</f>
        <v>Elena Rossi</v>
      </c>
      <c r="L17" s="2" t="str">
        <f>VLOOKUP(C17, merchant_master!$B$2:$D$6, 3, FALSE)</f>
        <v>Healthcare</v>
      </c>
      <c r="M17" s="2">
        <f>IF(OR(AND(G17="APAC", D17&gt;5000),AND(G17="EU", D17&gt;6000),AND(G17="US", D17&gt;7000)), 1, 0)</f>
        <v>0</v>
      </c>
      <c r="N17" s="2">
        <f>IF(OR(F17&gt;=70, E17="Chargeback"), 1, 0)</f>
        <v>0</v>
      </c>
    </row>
    <row r="18" spans="1:14" ht="12.75" x14ac:dyDescent="0.2">
      <c r="A18" s="2" t="s">
        <v>47</v>
      </c>
      <c r="B18" s="3">
        <v>46085</v>
      </c>
      <c r="C18" s="2" t="s">
        <v>28</v>
      </c>
      <c r="D18" s="4">
        <v>3000</v>
      </c>
      <c r="E18" s="2" t="s">
        <v>19</v>
      </c>
      <c r="F18" s="5">
        <v>61</v>
      </c>
      <c r="G18" s="2" t="s">
        <v>20</v>
      </c>
      <c r="H18" s="2" t="s">
        <v>48</v>
      </c>
      <c r="I18" s="2" t="str">
        <f>VLOOKUP(H18, users!$A$2:$B$11, 2, FALSE)</f>
        <v>Emma Brooks</v>
      </c>
      <c r="J18" s="2" t="s">
        <v>26</v>
      </c>
      <c r="K18" s="2" t="str">
        <f>VLOOKUP(C18, merchant_master!$B$2:$C$6, 2, FALSE)</f>
        <v>Rohan Mehta</v>
      </c>
      <c r="L18" s="2" t="str">
        <f>VLOOKUP(C18, merchant_master!$B$2:$D$6, 3, FALSE)</f>
        <v>Electronics</v>
      </c>
      <c r="M18" s="2">
        <f>IF(OR(AND(G18="APAC", D18&gt;5000),AND(G18="EU", D18&gt;6000),AND(G18="US", D18&gt;7000)), 1, 0)</f>
        <v>0</v>
      </c>
      <c r="N18" s="2">
        <f>IF(OR(F18&gt;=70, E18="Chargeback"), 1, 0)</f>
        <v>0</v>
      </c>
    </row>
    <row r="19" spans="1:14" ht="12.75" x14ac:dyDescent="0.2">
      <c r="A19" s="2" t="s">
        <v>49</v>
      </c>
      <c r="B19" s="3">
        <v>46085</v>
      </c>
      <c r="C19" s="2" t="s">
        <v>17</v>
      </c>
      <c r="D19" s="4">
        <v>3720</v>
      </c>
      <c r="E19" s="2" t="s">
        <v>19</v>
      </c>
      <c r="F19" s="5">
        <v>54</v>
      </c>
      <c r="G19" s="2" t="s">
        <v>20</v>
      </c>
      <c r="H19" s="2" t="s">
        <v>50</v>
      </c>
      <c r="I19" s="2" t="str">
        <f>VLOOKUP(H19, users!$A$2:$B$11, 2, FALSE)</f>
        <v>Liam Carter</v>
      </c>
      <c r="J19" s="2" t="s">
        <v>22</v>
      </c>
      <c r="K19" s="2" t="str">
        <f>VLOOKUP(C19, merchant_master!$B$2:$C$6, 2, FALSE)</f>
        <v>Aisha Khan</v>
      </c>
      <c r="L19" s="2" t="str">
        <f>VLOOKUP(C19, merchant_master!$B$2:$D$6, 3, FALSE)</f>
        <v>Grocery</v>
      </c>
      <c r="M19" s="2">
        <f>IF(OR(AND(G19="APAC", D19&gt;5000),AND(G19="EU", D19&gt;6000),AND(G19="US", D19&gt;7000)), 1, 0)</f>
        <v>0</v>
      </c>
      <c r="N19" s="2">
        <f>IF(OR(F19&gt;=70, E19="Chargeback"), 1, 0)</f>
        <v>0</v>
      </c>
    </row>
    <row r="20" spans="1:14" ht="12.75" x14ac:dyDescent="0.2">
      <c r="A20" s="2" t="s">
        <v>51</v>
      </c>
      <c r="B20" s="3">
        <v>46085</v>
      </c>
      <c r="C20" s="2" t="s">
        <v>28</v>
      </c>
      <c r="D20" s="4">
        <v>5640</v>
      </c>
      <c r="E20" s="2" t="s">
        <v>19</v>
      </c>
      <c r="F20" s="5">
        <v>73</v>
      </c>
      <c r="G20" s="2" t="s">
        <v>20</v>
      </c>
      <c r="H20" s="2" t="s">
        <v>21</v>
      </c>
      <c r="I20" s="2" t="str">
        <f>VLOOKUP(H20, users!$A$2:$B$11, 2, FALSE)</f>
        <v>Aarav Shah</v>
      </c>
      <c r="J20" s="2" t="s">
        <v>30</v>
      </c>
      <c r="K20" s="2" t="str">
        <f>VLOOKUP(C20, merchant_master!$B$2:$C$6, 2, FALSE)</f>
        <v>Rohan Mehta</v>
      </c>
      <c r="L20" s="2" t="str">
        <f>VLOOKUP(C20, merchant_master!$B$2:$D$6, 3, FALSE)</f>
        <v>Electronics</v>
      </c>
      <c r="M20" s="2">
        <f>IF(OR(AND(G20="APAC", D20&gt;5000),AND(G20="EU", D20&gt;6000),AND(G20="US", D20&gt;7000)), 1, 0)</f>
        <v>1</v>
      </c>
      <c r="N20" s="2">
        <f>IF(OR(F20&gt;=70, E20="Chargeback"), 1, 0)</f>
        <v>1</v>
      </c>
    </row>
    <row r="21" spans="1:14" ht="12.75" x14ac:dyDescent="0.2">
      <c r="A21" s="2" t="s">
        <v>52</v>
      </c>
      <c r="B21" s="3">
        <v>46085</v>
      </c>
      <c r="C21" s="2" t="s">
        <v>17</v>
      </c>
      <c r="D21" s="4">
        <v>1560</v>
      </c>
      <c r="E21" s="2" t="s">
        <v>19</v>
      </c>
      <c r="F21" s="5">
        <v>52</v>
      </c>
      <c r="G21" s="2" t="s">
        <v>24</v>
      </c>
      <c r="H21" s="2" t="s">
        <v>25</v>
      </c>
      <c r="I21" s="2" t="str">
        <f>VLOOKUP(H21, users!$A$2:$B$11, 2, FALSE)</f>
        <v>Meera Iyer</v>
      </c>
      <c r="J21" s="2" t="s">
        <v>26</v>
      </c>
      <c r="K21" s="2" t="str">
        <f>VLOOKUP(C21, merchant_master!$B$2:$C$6, 2, FALSE)</f>
        <v>Aisha Khan</v>
      </c>
      <c r="L21" s="2" t="str">
        <f>VLOOKUP(C21, merchant_master!$B$2:$D$6, 3, FALSE)</f>
        <v>Grocery</v>
      </c>
      <c r="M21" s="2">
        <f>IF(OR(AND(G21="APAC", D21&gt;5000),AND(G21="EU", D21&gt;6000),AND(G21="US", D21&gt;7000)), 1, 0)</f>
        <v>0</v>
      </c>
      <c r="N21" s="2">
        <f>IF(OR(F21&gt;=70, E21="Chargeback"), 1, 0)</f>
        <v>0</v>
      </c>
    </row>
    <row r="22" spans="1:14" ht="12.75" x14ac:dyDescent="0.2">
      <c r="A22" s="2" t="s">
        <v>73</v>
      </c>
      <c r="B22" s="3">
        <v>46085</v>
      </c>
      <c r="C22" s="2" t="s">
        <v>69</v>
      </c>
      <c r="D22" s="4">
        <v>2500</v>
      </c>
      <c r="E22" s="2" t="s">
        <v>39</v>
      </c>
      <c r="F22" s="5">
        <v>58</v>
      </c>
      <c r="G22" s="2" t="s">
        <v>71</v>
      </c>
      <c r="H22" s="2" t="s">
        <v>48</v>
      </c>
      <c r="I22" s="2" t="str">
        <f>VLOOKUP(H22, users!$A$2:$B$11, 2, FALSE)</f>
        <v>Emma Brooks</v>
      </c>
      <c r="J22" s="2" t="s">
        <v>37</v>
      </c>
      <c r="K22" s="2" t="str">
        <f>VLOOKUP(C22, merchant_master!$B$2:$C$6, 2, FALSE)</f>
        <v>Marcus Lee</v>
      </c>
      <c r="L22" s="2" t="str">
        <f>VLOOKUP(C22, merchant_master!$B$2:$D$6, 3, FALSE)</f>
        <v>Travel</v>
      </c>
      <c r="M22" s="2">
        <f>IF(OR(AND(G22="APAC", D22&gt;5000),AND(G22="EU", D22&gt;6000),AND(G22="US", D22&gt;7000)), 1, 0)</f>
        <v>0</v>
      </c>
      <c r="N22" s="2">
        <f>IF(OR(F22&gt;=70, E22="Chargeback"), 1, 0)</f>
        <v>1</v>
      </c>
    </row>
    <row r="23" spans="1:14" ht="12.75" x14ac:dyDescent="0.2">
      <c r="A23" s="2" t="s">
        <v>53</v>
      </c>
      <c r="B23" s="3">
        <v>46086</v>
      </c>
      <c r="C23" s="2" t="s">
        <v>28</v>
      </c>
      <c r="D23" s="4">
        <v>2596</v>
      </c>
      <c r="E23" s="2" t="s">
        <v>32</v>
      </c>
      <c r="F23" s="5">
        <v>69</v>
      </c>
      <c r="G23" s="2" t="s">
        <v>24</v>
      </c>
      <c r="H23" s="2" t="s">
        <v>46</v>
      </c>
      <c r="I23" s="2" t="str">
        <f>VLOOKUP(H23, users!$A$2:$B$11, 2, FALSE)</f>
        <v>Ishaan Verma</v>
      </c>
      <c r="J23" s="2" t="s">
        <v>26</v>
      </c>
      <c r="K23" s="2" t="str">
        <f>VLOOKUP(C23, merchant_master!$B$2:$C$6, 2, FALSE)</f>
        <v>Rohan Mehta</v>
      </c>
      <c r="L23" s="2" t="str">
        <f>VLOOKUP(C23, merchant_master!$B$2:$D$6, 3, FALSE)</f>
        <v>Electronics</v>
      </c>
      <c r="M23" s="2">
        <f>IF(OR(AND(G23="APAC", D23&gt;5000),AND(G23="EU", D23&gt;6000),AND(G23="US", D23&gt;7000)), 1, 0)</f>
        <v>0</v>
      </c>
      <c r="N23" s="2">
        <f>IF(OR(F23&gt;=70, E23="Chargeback"), 1, 0)</f>
        <v>0</v>
      </c>
    </row>
    <row r="24" spans="1:14" ht="12.75" x14ac:dyDescent="0.2">
      <c r="A24" s="2" t="s">
        <v>54</v>
      </c>
      <c r="B24" s="3">
        <v>46086</v>
      </c>
      <c r="C24" s="2" t="s">
        <v>28</v>
      </c>
      <c r="D24" s="4">
        <v>2124</v>
      </c>
      <c r="E24" s="2" t="s">
        <v>32</v>
      </c>
      <c r="F24" s="5">
        <v>72</v>
      </c>
      <c r="G24" s="2" t="s">
        <v>20</v>
      </c>
      <c r="H24" s="2" t="s">
        <v>46</v>
      </c>
      <c r="I24" s="2" t="str">
        <f>VLOOKUP(H24, users!$A$2:$B$11, 2, FALSE)</f>
        <v>Ishaan Verma</v>
      </c>
      <c r="J24" s="2" t="s">
        <v>26</v>
      </c>
      <c r="K24" s="2" t="str">
        <f>VLOOKUP(C24, merchant_master!$B$2:$C$6, 2, FALSE)</f>
        <v>Rohan Mehta</v>
      </c>
      <c r="L24" s="2" t="str">
        <f>VLOOKUP(C24, merchant_master!$B$2:$D$6, 3, FALSE)</f>
        <v>Electronics</v>
      </c>
      <c r="M24" s="2">
        <f>IF(OR(AND(G24="APAC", D24&gt;5000),AND(G24="EU", D24&gt;6000),AND(G24="US", D24&gt;7000)), 1, 0)</f>
        <v>0</v>
      </c>
      <c r="N24" s="2">
        <f>IF(OR(F24&gt;=70, E24="Chargeback"), 1, 0)</f>
        <v>1</v>
      </c>
    </row>
    <row r="25" spans="1:14" ht="12.75" x14ac:dyDescent="0.2">
      <c r="A25" s="2" t="s">
        <v>55</v>
      </c>
      <c r="B25" s="3">
        <v>46086</v>
      </c>
      <c r="C25" s="2" t="s">
        <v>28</v>
      </c>
      <c r="D25" s="4">
        <v>1711</v>
      </c>
      <c r="E25" s="2" t="s">
        <v>39</v>
      </c>
      <c r="F25" s="5">
        <v>86</v>
      </c>
      <c r="G25" s="2" t="s">
        <v>20</v>
      </c>
      <c r="H25" s="2" t="s">
        <v>46</v>
      </c>
      <c r="I25" s="2" t="str">
        <f>VLOOKUP(H25, users!$A$2:$B$11, 2, FALSE)</f>
        <v>Ishaan Verma</v>
      </c>
      <c r="J25" s="2" t="s">
        <v>22</v>
      </c>
      <c r="K25" s="2" t="str">
        <f>VLOOKUP(C25, merchant_master!$B$2:$C$6, 2, FALSE)</f>
        <v>Rohan Mehta</v>
      </c>
      <c r="L25" s="2" t="str">
        <f>VLOOKUP(C25, merchant_master!$B$2:$D$6, 3, FALSE)</f>
        <v>Electronics</v>
      </c>
      <c r="M25" s="2">
        <f>IF(OR(AND(G25="APAC", D25&gt;5000),AND(G25="EU", D25&gt;6000),AND(G25="US", D25&gt;7000)), 1, 0)</f>
        <v>0</v>
      </c>
      <c r="N25" s="2">
        <f>IF(OR(F25&gt;=70, E25="Chargeback"), 1, 0)</f>
        <v>1</v>
      </c>
    </row>
    <row r="26" spans="1:14" ht="12.75" x14ac:dyDescent="0.2">
      <c r="A26" s="2" t="s">
        <v>56</v>
      </c>
      <c r="B26" s="3">
        <v>46086</v>
      </c>
      <c r="C26" s="2" t="s">
        <v>17</v>
      </c>
      <c r="D26" s="4">
        <v>3068</v>
      </c>
      <c r="E26" s="2" t="s">
        <v>32</v>
      </c>
      <c r="F26" s="5">
        <v>67</v>
      </c>
      <c r="G26" s="2" t="s">
        <v>20</v>
      </c>
      <c r="H26" s="2" t="s">
        <v>46</v>
      </c>
      <c r="I26" s="2" t="str">
        <f>VLOOKUP(H26, users!$A$2:$B$11, 2, FALSE)</f>
        <v>Ishaan Verma</v>
      </c>
      <c r="J26" s="2" t="s">
        <v>37</v>
      </c>
      <c r="K26" s="2" t="str">
        <f>VLOOKUP(C26, merchant_master!$B$2:$C$6, 2, FALSE)</f>
        <v>Aisha Khan</v>
      </c>
      <c r="L26" s="2" t="str">
        <f>VLOOKUP(C26, merchant_master!$B$2:$D$6, 3, FALSE)</f>
        <v>Grocery</v>
      </c>
      <c r="M26" s="2">
        <f>IF(OR(AND(G26="APAC", D26&gt;5000),AND(G26="EU", D26&gt;6000),AND(G26="US", D26&gt;7000)), 1, 0)</f>
        <v>0</v>
      </c>
      <c r="N26" s="2">
        <f>IF(OR(F26&gt;=70, E26="Chargeback"), 1, 0)</f>
        <v>0</v>
      </c>
    </row>
    <row r="27" spans="1:14" ht="12.75" x14ac:dyDescent="0.2">
      <c r="A27" s="2" t="s">
        <v>57</v>
      </c>
      <c r="B27" s="3">
        <v>46086</v>
      </c>
      <c r="C27" s="2" t="s">
        <v>17</v>
      </c>
      <c r="D27" s="4">
        <v>6136</v>
      </c>
      <c r="E27" s="2" t="s">
        <v>19</v>
      </c>
      <c r="F27" s="5">
        <v>75</v>
      </c>
      <c r="G27" s="2" t="s">
        <v>20</v>
      </c>
      <c r="H27" s="2" t="s">
        <v>36</v>
      </c>
      <c r="I27" s="2" t="str">
        <f>VLOOKUP(H27, users!$A$2:$B$11, 2, FALSE)</f>
        <v>Vikram Nair</v>
      </c>
      <c r="J27" s="2" t="s">
        <v>22</v>
      </c>
      <c r="K27" s="2" t="str">
        <f>VLOOKUP(C27, merchant_master!$B$2:$C$6, 2, FALSE)</f>
        <v>Aisha Khan</v>
      </c>
      <c r="L27" s="2" t="str">
        <f>VLOOKUP(C27, merchant_master!$B$2:$D$6, 3, FALSE)</f>
        <v>Grocery</v>
      </c>
      <c r="M27" s="2">
        <f>IF(OR(AND(G27="APAC", D27&gt;5000),AND(G27="EU", D27&gt;6000),AND(G27="US", D27&gt;7000)), 1, 0)</f>
        <v>1</v>
      </c>
      <c r="N27" s="2">
        <f>IF(OR(F27&gt;=70, E27="Chargeback"), 1, 0)</f>
        <v>1</v>
      </c>
    </row>
    <row r="28" spans="1:14" ht="12.75" x14ac:dyDescent="0.2">
      <c r="A28" s="2" t="s">
        <v>67</v>
      </c>
      <c r="B28" s="3">
        <v>46086</v>
      </c>
      <c r="C28" s="2" t="s">
        <v>65</v>
      </c>
      <c r="D28" s="4">
        <v>3597.0000000000005</v>
      </c>
      <c r="E28" s="2" t="s">
        <v>32</v>
      </c>
      <c r="F28" s="5">
        <v>44</v>
      </c>
      <c r="G28" s="2" t="s">
        <v>63</v>
      </c>
      <c r="H28" s="2" t="s">
        <v>40</v>
      </c>
      <c r="I28" s="2" t="str">
        <f>VLOOKUP(H28, users!$A$2:$B$11, 2, FALSE)</f>
        <v>Riya Gupta</v>
      </c>
      <c r="J28" s="2" t="s">
        <v>30</v>
      </c>
      <c r="K28" s="2" t="str">
        <f>VLOOKUP(C28, merchant_master!$B$2:$C$6, 2, FALSE)</f>
        <v>Nina Weber</v>
      </c>
      <c r="L28" s="2" t="str">
        <f>VLOOKUP(C28, merchant_master!$B$2:$D$6, 3, FALSE)</f>
        <v>Home</v>
      </c>
      <c r="M28" s="2">
        <f>IF(OR(AND(G28="APAC", D28&gt;5000),AND(G28="EU", D28&gt;6000),AND(G28="US", D28&gt;7000)), 1, 0)</f>
        <v>0</v>
      </c>
      <c r="N28" s="2">
        <f>IF(OR(F28&gt;=70, E28="Chargeback"), 1, 0)</f>
        <v>0</v>
      </c>
    </row>
    <row r="29" spans="1:14" ht="12.75" x14ac:dyDescent="0.2">
      <c r="A29" s="2" t="s">
        <v>58</v>
      </c>
      <c r="B29" s="3">
        <v>46087</v>
      </c>
      <c r="C29" s="2" t="s">
        <v>28</v>
      </c>
      <c r="D29" s="4">
        <v>3927.0000000000005</v>
      </c>
      <c r="E29" s="2" t="s">
        <v>19</v>
      </c>
      <c r="F29" s="5">
        <v>63</v>
      </c>
      <c r="G29" s="2" t="s">
        <v>24</v>
      </c>
      <c r="H29" s="2" t="s">
        <v>40</v>
      </c>
      <c r="I29" s="2" t="str">
        <f>VLOOKUP(H29, users!$A$2:$B$11, 2, FALSE)</f>
        <v>Riya Gupta</v>
      </c>
      <c r="J29" s="2" t="s">
        <v>26</v>
      </c>
      <c r="K29" s="2" t="str">
        <f>VLOOKUP(C29, merchant_master!$B$2:$C$6, 2, FALSE)</f>
        <v>Rohan Mehta</v>
      </c>
      <c r="L29" s="2" t="str">
        <f>VLOOKUP(C29, merchant_master!$B$2:$D$6, 3, FALSE)</f>
        <v>Electronics</v>
      </c>
      <c r="M29" s="2">
        <f>IF(OR(AND(G29="APAC", D29&gt;5000),AND(G29="EU", D29&gt;6000),AND(G29="US", D29&gt;7000)), 1, 0)</f>
        <v>0</v>
      </c>
      <c r="N29" s="2">
        <f>IF(OR(F29&gt;=70, E29="Chargeback"), 1, 0)</f>
        <v>0</v>
      </c>
    </row>
    <row r="30" spans="1:14" ht="12.75" x14ac:dyDescent="0.2">
      <c r="A30" s="2" t="s">
        <v>59</v>
      </c>
      <c r="B30" s="3">
        <v>46087</v>
      </c>
      <c r="C30" s="2" t="s">
        <v>17</v>
      </c>
      <c r="D30" s="4">
        <v>4879</v>
      </c>
      <c r="E30" s="2" t="s">
        <v>19</v>
      </c>
      <c r="F30" s="5">
        <v>60</v>
      </c>
      <c r="G30" s="2" t="s">
        <v>20</v>
      </c>
      <c r="H30" s="2" t="s">
        <v>42</v>
      </c>
      <c r="I30" s="2" t="str">
        <f>VLOOKUP(H30, users!$A$2:$B$11, 2, FALSE)</f>
        <v>Noah Kim</v>
      </c>
      <c r="J30" s="2" t="s">
        <v>22</v>
      </c>
      <c r="K30" s="2" t="str">
        <f>VLOOKUP(C30, merchant_master!$B$2:$C$6, 2, FALSE)</f>
        <v>Aisha Khan</v>
      </c>
      <c r="L30" s="2" t="str">
        <f>VLOOKUP(C30, merchant_master!$B$2:$D$6, 3, FALSE)</f>
        <v>Grocery</v>
      </c>
      <c r="M30" s="2">
        <f>IF(OR(AND(G30="APAC", D30&gt;5000),AND(G30="EU", D30&gt;6000),AND(G30="US", D30&gt;7000)), 1, 0)</f>
        <v>0</v>
      </c>
      <c r="N30" s="2">
        <f>IF(OR(F30&gt;=70, E30="Chargeback"), 1, 0)</f>
        <v>0</v>
      </c>
    </row>
    <row r="31" spans="1:14" ht="12.75" x14ac:dyDescent="0.2">
      <c r="A31" s="2" t="s">
        <v>74</v>
      </c>
      <c r="B31" s="3">
        <v>46087</v>
      </c>
      <c r="C31" s="2" t="s">
        <v>69</v>
      </c>
      <c r="D31" s="4">
        <v>1800</v>
      </c>
      <c r="E31" s="2" t="s">
        <v>32</v>
      </c>
      <c r="F31" s="5">
        <v>47</v>
      </c>
      <c r="G31" s="2" t="s">
        <v>71</v>
      </c>
      <c r="H31" s="2" t="s">
        <v>50</v>
      </c>
      <c r="I31" s="2" t="str">
        <f>VLOOKUP(H31, users!$A$2:$B$11, 2, FALSE)</f>
        <v>Liam Carter</v>
      </c>
      <c r="J31" s="2" t="s">
        <v>22</v>
      </c>
      <c r="K31" s="2" t="str">
        <f>VLOOKUP(C31, merchant_master!$B$2:$C$6, 2, FALSE)</f>
        <v>Marcus Lee</v>
      </c>
      <c r="L31" s="2" t="str">
        <f>VLOOKUP(C31, merchant_master!$B$2:$D$6, 3, FALSE)</f>
        <v>Travel</v>
      </c>
      <c r="M31" s="2">
        <f>IF(OR(AND(G31="APAC", D31&gt;5000),AND(G31="EU", D31&gt;6000),AND(G31="US", D31&gt;7000)), 1, 0)</f>
        <v>0</v>
      </c>
      <c r="N31" s="2">
        <f>IF(OR(F31&gt;=70, E31="Chargeback"), 1, 0)</f>
        <v>0</v>
      </c>
    </row>
  </sheetData>
  <sortState xmlns:xlrd2="http://schemas.microsoft.com/office/spreadsheetml/2017/richdata2" ref="A2:Z31">
    <sortCondition ref="B2:B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9"/>
  <sheetViews>
    <sheetView showGridLines="0" workbookViewId="0">
      <selection activeCell="B32" sqref="B32"/>
    </sheetView>
  </sheetViews>
  <sheetFormatPr defaultColWidth="12.5703125" defaultRowHeight="15.75" customHeight="1" x14ac:dyDescent="0.2"/>
  <cols>
    <col min="1" max="1" width="22.42578125" customWidth="1"/>
    <col min="2" max="2" width="24.140625" customWidth="1"/>
    <col min="3" max="3" width="6.5703125" customWidth="1"/>
    <col min="4" max="4" width="21.42578125" customWidth="1"/>
    <col min="5" max="5" width="23.140625" customWidth="1"/>
    <col min="6" max="6" width="8" customWidth="1"/>
    <col min="7" max="7" width="18.7109375" customWidth="1"/>
    <col min="8" max="8" width="16.5703125" customWidth="1"/>
  </cols>
  <sheetData>
    <row r="1" spans="1:8" x14ac:dyDescent="0.2">
      <c r="A1" s="6" t="s">
        <v>5</v>
      </c>
      <c r="B1" s="7" t="s">
        <v>75</v>
      </c>
    </row>
    <row r="2" spans="1:8" x14ac:dyDescent="0.2">
      <c r="A2" s="8" t="s">
        <v>19</v>
      </c>
      <c r="B2" s="9">
        <v>82355.5</v>
      </c>
    </row>
    <row r="3" spans="1:8" x14ac:dyDescent="0.2">
      <c r="A3" s="10" t="s">
        <v>39</v>
      </c>
      <c r="B3" s="11">
        <v>16260</v>
      </c>
    </row>
    <row r="4" spans="1:8" x14ac:dyDescent="0.2">
      <c r="A4" s="10" t="s">
        <v>32</v>
      </c>
      <c r="B4" s="11">
        <v>17464.5</v>
      </c>
    </row>
    <row r="5" spans="1:8" x14ac:dyDescent="0.2">
      <c r="A5" s="12" t="s">
        <v>76</v>
      </c>
      <c r="B5" s="13">
        <v>116080</v>
      </c>
      <c r="D5" s="6" t="s">
        <v>2</v>
      </c>
      <c r="E5" s="7" t="s">
        <v>75</v>
      </c>
      <c r="G5" s="6" t="s">
        <v>7</v>
      </c>
      <c r="H5" s="7" t="s">
        <v>75</v>
      </c>
    </row>
    <row r="6" spans="1:8" x14ac:dyDescent="0.2">
      <c r="D6" s="8" t="s">
        <v>17</v>
      </c>
      <c r="E6" s="9">
        <v>40812</v>
      </c>
      <c r="G6" s="8" t="s">
        <v>20</v>
      </c>
      <c r="H6" s="9">
        <v>50177.5</v>
      </c>
    </row>
    <row r="7" spans="1:8" x14ac:dyDescent="0.2">
      <c r="D7" s="10" t="s">
        <v>28</v>
      </c>
      <c r="E7" s="11">
        <v>41782</v>
      </c>
      <c r="G7" s="10" t="s">
        <v>63</v>
      </c>
      <c r="H7" s="11">
        <v>18886</v>
      </c>
    </row>
    <row r="8" spans="1:8" x14ac:dyDescent="0.2">
      <c r="D8" s="10" t="s">
        <v>61</v>
      </c>
      <c r="E8" s="11">
        <v>8640</v>
      </c>
      <c r="G8" s="10" t="s">
        <v>24</v>
      </c>
      <c r="H8" s="11">
        <v>32416.5</v>
      </c>
    </row>
    <row r="9" spans="1:8" x14ac:dyDescent="0.2">
      <c r="D9" s="10" t="s">
        <v>69</v>
      </c>
      <c r="E9" s="11">
        <v>14600</v>
      </c>
      <c r="G9" s="10" t="s">
        <v>71</v>
      </c>
      <c r="H9" s="11">
        <v>14600</v>
      </c>
    </row>
    <row r="10" spans="1:8" x14ac:dyDescent="0.2">
      <c r="D10" s="10" t="s">
        <v>65</v>
      </c>
      <c r="E10" s="11">
        <v>10246.000000000002</v>
      </c>
      <c r="G10" s="12" t="s">
        <v>76</v>
      </c>
      <c r="H10" s="13">
        <v>116080</v>
      </c>
    </row>
    <row r="11" spans="1:8" x14ac:dyDescent="0.2">
      <c r="D11" s="12" t="s">
        <v>76</v>
      </c>
      <c r="E11" s="13">
        <v>116080</v>
      </c>
    </row>
    <row r="12" spans="1:8" x14ac:dyDescent="0.2">
      <c r="A12" s="6" t="s">
        <v>2</v>
      </c>
      <c r="B12" s="7" t="s">
        <v>77</v>
      </c>
    </row>
    <row r="13" spans="1:8" x14ac:dyDescent="0.2">
      <c r="A13" s="8" t="s">
        <v>17</v>
      </c>
      <c r="B13" s="9">
        <v>2</v>
      </c>
    </row>
    <row r="14" spans="1:8" x14ac:dyDescent="0.2">
      <c r="A14" s="10" t="s">
        <v>28</v>
      </c>
      <c r="B14" s="11">
        <v>2</v>
      </c>
    </row>
    <row r="15" spans="1:8" x14ac:dyDescent="0.2">
      <c r="A15" s="10" t="s">
        <v>61</v>
      </c>
      <c r="B15" s="11">
        <v>0</v>
      </c>
    </row>
    <row r="16" spans="1:8" x14ac:dyDescent="0.2">
      <c r="A16" s="10" t="s">
        <v>69</v>
      </c>
      <c r="B16" s="11">
        <v>1</v>
      </c>
    </row>
    <row r="17" spans="1:5" x14ac:dyDescent="0.2">
      <c r="A17" s="10" t="s">
        <v>65</v>
      </c>
      <c r="B17" s="11">
        <v>1</v>
      </c>
      <c r="D17" s="6" t="s">
        <v>9</v>
      </c>
      <c r="E17" s="7" t="s">
        <v>77</v>
      </c>
    </row>
    <row r="18" spans="1:5" x14ac:dyDescent="0.2">
      <c r="A18" s="12" t="s">
        <v>76</v>
      </c>
      <c r="B18" s="13">
        <v>6</v>
      </c>
      <c r="D18" s="8" t="s">
        <v>78</v>
      </c>
      <c r="E18" s="9">
        <v>1</v>
      </c>
    </row>
    <row r="19" spans="1:5" x14ac:dyDescent="0.2">
      <c r="D19" s="10" t="s">
        <v>79</v>
      </c>
      <c r="E19" s="11">
        <v>0</v>
      </c>
    </row>
    <row r="20" spans="1:5" x14ac:dyDescent="0.2">
      <c r="D20" s="10" t="s">
        <v>80</v>
      </c>
      <c r="E20" s="11">
        <v>0</v>
      </c>
    </row>
    <row r="21" spans="1:5" x14ac:dyDescent="0.2">
      <c r="D21" s="10" t="s">
        <v>82</v>
      </c>
      <c r="E21" s="11">
        <v>1</v>
      </c>
    </row>
    <row r="22" spans="1:5" x14ac:dyDescent="0.2">
      <c r="A22" s="6" t="s">
        <v>2</v>
      </c>
      <c r="B22" s="7" t="s">
        <v>81</v>
      </c>
      <c r="D22" s="10" t="s">
        <v>83</v>
      </c>
      <c r="E22" s="11">
        <v>0</v>
      </c>
    </row>
    <row r="23" spans="1:5" x14ac:dyDescent="0.2">
      <c r="A23" s="8" t="s">
        <v>17</v>
      </c>
      <c r="B23" s="9">
        <v>2</v>
      </c>
      <c r="D23" s="10" t="s">
        <v>84</v>
      </c>
      <c r="E23" s="11">
        <v>0</v>
      </c>
    </row>
    <row r="24" spans="1:5" x14ac:dyDescent="0.2">
      <c r="A24" s="10" t="s">
        <v>28</v>
      </c>
      <c r="B24" s="11">
        <v>5</v>
      </c>
      <c r="D24" s="10" t="s">
        <v>85</v>
      </c>
      <c r="E24" s="11">
        <v>1</v>
      </c>
    </row>
    <row r="25" spans="1:5" x14ac:dyDescent="0.2">
      <c r="A25" s="10" t="s">
        <v>61</v>
      </c>
      <c r="B25" s="11">
        <v>0</v>
      </c>
      <c r="D25" s="10" t="s">
        <v>86</v>
      </c>
      <c r="E25" s="11">
        <v>1</v>
      </c>
    </row>
    <row r="26" spans="1:5" x14ac:dyDescent="0.2">
      <c r="A26" s="10" t="s">
        <v>69</v>
      </c>
      <c r="B26" s="11">
        <v>1</v>
      </c>
      <c r="D26" s="10" t="s">
        <v>87</v>
      </c>
      <c r="E26" s="11">
        <v>1</v>
      </c>
    </row>
    <row r="27" spans="1:5" x14ac:dyDescent="0.2">
      <c r="A27" s="10" t="s">
        <v>65</v>
      </c>
      <c r="B27" s="11">
        <v>1</v>
      </c>
      <c r="D27" s="10" t="s">
        <v>88</v>
      </c>
      <c r="E27" s="11">
        <v>1</v>
      </c>
    </row>
    <row r="28" spans="1:5" x14ac:dyDescent="0.2">
      <c r="A28" s="12" t="s">
        <v>76</v>
      </c>
      <c r="B28" s="13">
        <v>9</v>
      </c>
      <c r="D28" s="12" t="s">
        <v>76</v>
      </c>
      <c r="E28" s="13">
        <v>6</v>
      </c>
    </row>
    <row r="29" spans="1:5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31"/>
  <sheetViews>
    <sheetView zoomScaleNormal="100" workbookViewId="0">
      <selection activeCell="C23" sqref="C23"/>
    </sheetView>
  </sheetViews>
  <sheetFormatPr defaultColWidth="12.5703125" defaultRowHeight="15.75" customHeight="1" x14ac:dyDescent="0.2"/>
  <cols>
    <col min="1" max="1" width="11.42578125" customWidth="1"/>
    <col min="2" max="2" width="13.42578125" customWidth="1"/>
    <col min="3" max="3" width="23" customWidth="1"/>
    <col min="4" max="4" width="14" customWidth="1"/>
    <col min="5" max="5" width="19" customWidth="1"/>
    <col min="6" max="6" width="10.140625" customWidth="1"/>
    <col min="7" max="7" width="15.28515625" customWidth="1"/>
    <col min="8" max="8" width="7.42578125" customWidth="1"/>
    <col min="9" max="9" width="18" customWidth="1"/>
    <col min="10" max="10" width="15.42578125" customWidth="1"/>
    <col min="11" max="11" width="8.5703125" customWidth="1"/>
    <col min="12" max="12" width="14.42578125" customWidth="1"/>
    <col min="13" max="13" width="12.7109375" customWidth="1"/>
    <col min="14" max="14" width="18.7109375" customWidth="1"/>
    <col min="15" max="15" width="6.42578125" customWidth="1"/>
    <col min="16" max="17" width="13.85546875" customWidth="1"/>
    <col min="18" max="18" width="14.42578125" customWidth="1"/>
    <col min="19" max="19" width="16.42578125" customWidth="1"/>
    <col min="20" max="20" width="13.5703125" customWidth="1"/>
  </cols>
  <sheetData>
    <row r="1" spans="1:21" x14ac:dyDescent="0.2">
      <c r="A1" s="2" t="s">
        <v>0</v>
      </c>
      <c r="B1" s="2" t="s">
        <v>1</v>
      </c>
      <c r="C1" s="1" t="s">
        <v>89</v>
      </c>
      <c r="D1" s="2" t="s">
        <v>90</v>
      </c>
      <c r="E1" s="1" t="s">
        <v>2</v>
      </c>
      <c r="F1" s="2" t="s">
        <v>91</v>
      </c>
      <c r="G1" s="1" t="s">
        <v>3</v>
      </c>
      <c r="H1" s="2" t="s">
        <v>4</v>
      </c>
      <c r="I1" s="2" t="s">
        <v>92</v>
      </c>
      <c r="J1" s="1" t="s">
        <v>5</v>
      </c>
      <c r="K1" s="2" t="s">
        <v>93</v>
      </c>
      <c r="L1" s="1" t="s">
        <v>6</v>
      </c>
      <c r="M1" s="2" t="s">
        <v>94</v>
      </c>
      <c r="N1" s="1" t="s">
        <v>7</v>
      </c>
      <c r="O1" s="2" t="s">
        <v>8</v>
      </c>
      <c r="P1" s="1" t="s">
        <v>9</v>
      </c>
      <c r="Q1" s="2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2">
      <c r="A2" s="2" t="s">
        <v>16</v>
      </c>
      <c r="B2" s="3">
        <v>46082</v>
      </c>
      <c r="C2" s="2" t="b">
        <f ca="1">IFERROR(__xludf.DUMMYFUNCTION("ISDATE(B2)"),TRUE)</f>
        <v>1</v>
      </c>
      <c r="D2" s="2" t="s">
        <v>95</v>
      </c>
      <c r="E2" s="2" t="str">
        <f t="shared" ref="E2:E31" si="0">PROPER(TRIM(D2))</f>
        <v>Alpha Mart</v>
      </c>
      <c r="F2" s="2">
        <v>420000</v>
      </c>
      <c r="G2" s="4">
        <f>F2*exchange_rates!C$2</f>
        <v>4998</v>
      </c>
      <c r="H2" s="2" t="s">
        <v>18</v>
      </c>
      <c r="I2" s="2" t="s">
        <v>96</v>
      </c>
      <c r="J2" s="2" t="str">
        <f t="shared" ref="J2:J31" si="1">PROPER(TRIM(I2))</f>
        <v>Captured</v>
      </c>
      <c r="K2" s="2" t="s">
        <v>97</v>
      </c>
      <c r="L2" s="5">
        <f ca="1">IFERROR(__xludf.DUMMYFUNCTION("IFERROR(VALUE(REGEXREPLACE(TO_TEXT(K2), ""[^0-9]"", """")), K2)"),62)</f>
        <v>62</v>
      </c>
      <c r="M2" s="2" t="s">
        <v>20</v>
      </c>
      <c r="N2" s="2" t="str">
        <f t="shared" ref="N2:N31" si="2">IF(TRIM(M2)="", "MISSING", UPPER(TRIM(M2)))</f>
        <v>APAC</v>
      </c>
      <c r="O2" s="2" t="s">
        <v>21</v>
      </c>
      <c r="P2" s="2" t="str">
        <f>VLOOKUP(O2, users!$A$2:$B$11, 2, FALSE)</f>
        <v>Aarav Shah</v>
      </c>
      <c r="Q2" s="2" t="s">
        <v>22</v>
      </c>
      <c r="R2" s="2" t="str">
        <f>VLOOKUP(E2, merchant_master!$B$2:$C$6, 2, FALSE)</f>
        <v>Aisha Khan</v>
      </c>
      <c r="S2" s="2" t="str">
        <f>VLOOKUP(E2, merchant_master!$B$2:$D$6, 3, FALSE)</f>
        <v>Grocery</v>
      </c>
      <c r="T2" s="2">
        <f t="shared" ref="T2:T31" si="3">IF(OR(AND(N2="APAC", G2&gt;5000),AND(N2="EU", G2&gt;6000),AND(N2="US", G2&gt;7000)), 1, 0)</f>
        <v>0</v>
      </c>
      <c r="U2" s="2">
        <f t="shared" ref="U2:U31" ca="1" si="4">IF(OR(L2&gt;=70, I2="Chargeback"), 1, 0)</f>
        <v>0</v>
      </c>
    </row>
    <row r="3" spans="1:21" x14ac:dyDescent="0.2">
      <c r="A3" s="2" t="s">
        <v>23</v>
      </c>
      <c r="B3" s="3">
        <v>46082</v>
      </c>
      <c r="C3" s="2" t="b">
        <f ca="1">IFERROR(__xludf.DUMMYFUNCTION("ISDATE(B3)"),TRUE)</f>
        <v>1</v>
      </c>
      <c r="D3" s="2" t="s">
        <v>98</v>
      </c>
      <c r="E3" s="2" t="str">
        <f t="shared" si="0"/>
        <v>Alpha Mart</v>
      </c>
      <c r="F3" s="2">
        <v>210000</v>
      </c>
      <c r="G3" s="4">
        <f>F3*exchange_rates!C$2</f>
        <v>2499</v>
      </c>
      <c r="H3" s="2" t="s">
        <v>18</v>
      </c>
      <c r="I3" s="2" t="s">
        <v>19</v>
      </c>
      <c r="J3" s="2" t="str">
        <f t="shared" si="1"/>
        <v>Captured</v>
      </c>
      <c r="K3" s="2">
        <v>55</v>
      </c>
      <c r="L3" s="5">
        <f ca="1">IFERROR(__xludf.DUMMYFUNCTION("IFERROR(VALUE(REGEXREPLACE(TO_TEXT(K3), ""[^0-9]"", """")), K3)"),55)</f>
        <v>55</v>
      </c>
      <c r="N3" s="2" t="str">
        <f t="shared" si="2"/>
        <v>MISSING</v>
      </c>
      <c r="O3" s="2" t="s">
        <v>25</v>
      </c>
      <c r="P3" s="2" t="str">
        <f>VLOOKUP(O3, users!$A$2:$B$11, 2, FALSE)</f>
        <v>Meera Iyer</v>
      </c>
      <c r="Q3" s="2" t="s">
        <v>26</v>
      </c>
      <c r="R3" s="2" t="str">
        <f>VLOOKUP(E3, merchant_master!$B$2:$C$6, 2, FALSE)</f>
        <v>Aisha Khan</v>
      </c>
      <c r="S3" s="2" t="str">
        <f>VLOOKUP(E3, merchant_master!$B$2:$D$6, 3, FALSE)</f>
        <v>Grocery</v>
      </c>
      <c r="T3" s="2">
        <f t="shared" si="3"/>
        <v>0</v>
      </c>
      <c r="U3" s="2">
        <f t="shared" ca="1" si="4"/>
        <v>0</v>
      </c>
    </row>
    <row r="4" spans="1:21" x14ac:dyDescent="0.2">
      <c r="A4" s="2" t="s">
        <v>27</v>
      </c>
      <c r="B4" s="3">
        <v>46082</v>
      </c>
      <c r="C4" s="2" t="b">
        <f ca="1">IFERROR(__xludf.DUMMYFUNCTION("ISDATE(B4)"),TRUE)</f>
        <v>1</v>
      </c>
      <c r="D4" s="2" t="s">
        <v>99</v>
      </c>
      <c r="E4" s="2" t="str">
        <f t="shared" si="0"/>
        <v>Beta Stores</v>
      </c>
      <c r="F4" s="2">
        <v>510000</v>
      </c>
      <c r="G4" s="4">
        <f>F4*exchange_rates!C$2</f>
        <v>6069</v>
      </c>
      <c r="H4" s="2" t="s">
        <v>18</v>
      </c>
      <c r="I4" s="2" t="s">
        <v>100</v>
      </c>
      <c r="J4" s="2" t="str">
        <f t="shared" si="1"/>
        <v>Captured</v>
      </c>
      <c r="K4" s="2">
        <v>71</v>
      </c>
      <c r="L4" s="5">
        <f ca="1">IFERROR(__xludf.DUMMYFUNCTION("IFERROR(VALUE(REGEXREPLACE(TO_TEXT(K4), ""[^0-9]"", """")), K4)"),71)</f>
        <v>71</v>
      </c>
      <c r="M4" s="2" t="s">
        <v>20</v>
      </c>
      <c r="N4" s="2" t="str">
        <f t="shared" si="2"/>
        <v>APAC</v>
      </c>
      <c r="O4" s="2" t="s">
        <v>29</v>
      </c>
      <c r="P4" s="2" t="str">
        <f>VLOOKUP(O4, users!$A$2:$B$11, 2, FALSE)</f>
        <v>Kabir Jain</v>
      </c>
      <c r="Q4" s="2" t="s">
        <v>30</v>
      </c>
      <c r="R4" s="2" t="str">
        <f>VLOOKUP(E4, merchant_master!$B$2:$C$6, 2, FALSE)</f>
        <v>Rohan Mehta</v>
      </c>
      <c r="S4" s="2" t="str">
        <f>VLOOKUP(E4, merchant_master!$B$2:$D$6, 3, FALSE)</f>
        <v>Electronics</v>
      </c>
      <c r="T4" s="2">
        <f t="shared" si="3"/>
        <v>1</v>
      </c>
      <c r="U4" s="2">
        <f t="shared" ca="1" si="4"/>
        <v>1</v>
      </c>
    </row>
    <row r="5" spans="1:21" x14ac:dyDescent="0.2">
      <c r="A5" s="2" t="s">
        <v>31</v>
      </c>
      <c r="B5" s="3">
        <v>46083</v>
      </c>
      <c r="C5" s="2" t="b">
        <f ca="1">IFERROR(__xludf.DUMMYFUNCTION("ISDATE(B5)"),TRUE)</f>
        <v>1</v>
      </c>
      <c r="D5" s="2" t="s">
        <v>101</v>
      </c>
      <c r="E5" s="2" t="str">
        <f t="shared" si="0"/>
        <v>Beta Stores</v>
      </c>
      <c r="F5" s="2">
        <v>160000</v>
      </c>
      <c r="G5" s="4">
        <f>F5*exchange_rates!C$5</f>
        <v>1920</v>
      </c>
      <c r="H5" s="2" t="s">
        <v>18</v>
      </c>
      <c r="I5" s="2" t="s">
        <v>102</v>
      </c>
      <c r="J5" s="2" t="str">
        <f t="shared" si="1"/>
        <v>Failed E05 Timeout</v>
      </c>
      <c r="K5" s="2">
        <v>68</v>
      </c>
      <c r="L5" s="5">
        <f ca="1">IFERROR(__xludf.DUMMYFUNCTION("IFERROR(VALUE(REGEXREPLACE(TO_TEXT(K5), ""[^0-9]"", """")), K5)"),68)</f>
        <v>68</v>
      </c>
      <c r="M5" s="2" t="s">
        <v>103</v>
      </c>
      <c r="N5" s="2" t="str">
        <f t="shared" si="2"/>
        <v>APAC</v>
      </c>
      <c r="O5" s="2" t="s">
        <v>33</v>
      </c>
      <c r="P5" s="2" t="str">
        <f>VLOOKUP(O5, users!$A$2:$B$11, 2, FALSE)</f>
        <v>Sofia Rossi</v>
      </c>
      <c r="Q5" s="2" t="s">
        <v>26</v>
      </c>
      <c r="R5" s="2" t="str">
        <f>VLOOKUP(E5, merchant_master!$B$2:$C$6, 2, FALSE)</f>
        <v>Rohan Mehta</v>
      </c>
      <c r="S5" s="2" t="str">
        <f>VLOOKUP(E5, merchant_master!$B$2:$D$6, 3, FALSE)</f>
        <v>Electronics</v>
      </c>
      <c r="T5" s="2">
        <f t="shared" si="3"/>
        <v>0</v>
      </c>
      <c r="U5" s="2">
        <f t="shared" ca="1" si="4"/>
        <v>0</v>
      </c>
    </row>
    <row r="6" spans="1:21" x14ac:dyDescent="0.2">
      <c r="A6" s="2" t="s">
        <v>34</v>
      </c>
      <c r="B6" s="3">
        <v>46083</v>
      </c>
      <c r="C6" s="2" t="b">
        <f ca="1">IFERROR(__xludf.DUMMYFUNCTION("ISDATE(B6)"),TRUE)</f>
        <v>1</v>
      </c>
      <c r="D6" s="2" t="s">
        <v>17</v>
      </c>
      <c r="E6" s="2" t="str">
        <f t="shared" si="0"/>
        <v>Alpha Mart</v>
      </c>
      <c r="F6" s="2">
        <v>390000</v>
      </c>
      <c r="G6" s="4">
        <f>F6*exchange_rates!C$5</f>
        <v>4680</v>
      </c>
      <c r="H6" s="2" t="s">
        <v>18</v>
      </c>
      <c r="I6" s="2" t="s">
        <v>100</v>
      </c>
      <c r="J6" s="2" t="str">
        <f t="shared" si="1"/>
        <v>Captured</v>
      </c>
      <c r="K6" s="2">
        <v>58</v>
      </c>
      <c r="L6" s="5">
        <f ca="1">IFERROR(__xludf.DUMMYFUNCTION("IFERROR(VALUE(REGEXREPLACE(TO_TEXT(K6), ""[^0-9]"", """")), K6)"),58)</f>
        <v>58</v>
      </c>
      <c r="N6" s="2" t="str">
        <f t="shared" si="2"/>
        <v>MISSING</v>
      </c>
      <c r="O6" s="2" t="s">
        <v>21</v>
      </c>
      <c r="P6" s="2" t="str">
        <f>VLOOKUP(O6, users!$A$2:$B$11, 2, FALSE)</f>
        <v>Aarav Shah</v>
      </c>
      <c r="Q6" s="2" t="s">
        <v>22</v>
      </c>
      <c r="R6" s="2" t="str">
        <f>VLOOKUP(E6, merchant_master!$B$2:$C$6, 2, FALSE)</f>
        <v>Aisha Khan</v>
      </c>
      <c r="S6" s="2" t="str">
        <f>VLOOKUP(E6, merchant_master!$B$2:$D$6, 3, FALSE)</f>
        <v>Grocery</v>
      </c>
      <c r="T6" s="2">
        <f t="shared" si="3"/>
        <v>0</v>
      </c>
      <c r="U6" s="2">
        <f t="shared" ca="1" si="4"/>
        <v>0</v>
      </c>
    </row>
    <row r="7" spans="1:21" x14ac:dyDescent="0.2">
      <c r="A7" s="2" t="s">
        <v>35</v>
      </c>
      <c r="B7" s="3">
        <v>46083</v>
      </c>
      <c r="C7" s="2" t="b">
        <f ca="1">IFERROR(__xludf.DUMMYFUNCTION("ISDATE(B7)"),TRUE)</f>
        <v>1</v>
      </c>
      <c r="D7" s="2" t="s">
        <v>101</v>
      </c>
      <c r="E7" s="2" t="str">
        <f t="shared" si="0"/>
        <v>Beta Stores</v>
      </c>
      <c r="F7" s="2">
        <v>275000</v>
      </c>
      <c r="G7" s="4">
        <f>F7*exchange_rates!C$5</f>
        <v>3300</v>
      </c>
      <c r="H7" s="2" t="s">
        <v>18</v>
      </c>
      <c r="I7" s="2" t="s">
        <v>19</v>
      </c>
      <c r="J7" s="2" t="str">
        <f t="shared" si="1"/>
        <v>Captured</v>
      </c>
      <c r="K7" s="2" t="s">
        <v>104</v>
      </c>
      <c r="L7" s="5">
        <f ca="1">IFERROR(__xludf.DUMMYFUNCTION("IFERROR(VALUE(REGEXREPLACE(TO_TEXT(K7), ""[^0-9]"", """")), K7)"),64)</f>
        <v>64</v>
      </c>
      <c r="N7" s="2" t="str">
        <f t="shared" si="2"/>
        <v>MISSING</v>
      </c>
      <c r="O7" s="2" t="s">
        <v>36</v>
      </c>
      <c r="P7" s="2" t="str">
        <f>VLOOKUP(O7, users!$A$2:$B$11, 2, FALSE)</f>
        <v>Vikram Nair</v>
      </c>
      <c r="Q7" s="2" t="s">
        <v>37</v>
      </c>
      <c r="R7" s="2" t="str">
        <f>VLOOKUP(E7, merchant_master!$B$2:$C$6, 2, FALSE)</f>
        <v>Rohan Mehta</v>
      </c>
      <c r="S7" s="2" t="str">
        <f>VLOOKUP(E7, merchant_master!$B$2:$D$6, 3, FALSE)</f>
        <v>Electronics</v>
      </c>
      <c r="T7" s="2">
        <f t="shared" si="3"/>
        <v>0</v>
      </c>
      <c r="U7" s="2">
        <f t="shared" ca="1" si="4"/>
        <v>0</v>
      </c>
    </row>
    <row r="8" spans="1:21" x14ac:dyDescent="0.2">
      <c r="A8" s="2" t="s">
        <v>38</v>
      </c>
      <c r="B8" s="3">
        <v>46083</v>
      </c>
      <c r="C8" s="2" t="b">
        <f ca="1">IFERROR(__xludf.DUMMYFUNCTION("ISDATE(B8)"),TRUE)</f>
        <v>1</v>
      </c>
      <c r="D8" s="2" t="s">
        <v>105</v>
      </c>
      <c r="E8" s="2" t="str">
        <f t="shared" si="0"/>
        <v>Alpha Mart</v>
      </c>
      <c r="F8" s="2">
        <v>450000</v>
      </c>
      <c r="G8" s="4">
        <f>F8*exchange_rates!C$5</f>
        <v>5400</v>
      </c>
      <c r="H8" s="2" t="s">
        <v>18</v>
      </c>
      <c r="I8" s="2" t="s">
        <v>106</v>
      </c>
      <c r="J8" s="2" t="str">
        <f t="shared" si="1"/>
        <v>Chargeback</v>
      </c>
      <c r="K8" s="2" t="s">
        <v>107</v>
      </c>
      <c r="L8" s="5">
        <f ca="1">IFERROR(__xludf.DUMMYFUNCTION("IFERROR(VALUE(REGEXREPLACE(TO_TEXT(K8), ""[^0-9]"", """")), K8)"),83)</f>
        <v>83</v>
      </c>
      <c r="M8" s="2" t="s">
        <v>20</v>
      </c>
      <c r="N8" s="2" t="str">
        <f t="shared" si="2"/>
        <v>APAC</v>
      </c>
      <c r="O8" s="2" t="s">
        <v>40</v>
      </c>
      <c r="P8" s="2" t="str">
        <f>VLOOKUP(O8, users!$A$2:$B$11, 2, FALSE)</f>
        <v>Riya Gupta</v>
      </c>
      <c r="Q8" s="2" t="s">
        <v>26</v>
      </c>
      <c r="R8" s="2" t="str">
        <f>VLOOKUP(E8, merchant_master!$B$2:$C$6, 2, FALSE)</f>
        <v>Aisha Khan</v>
      </c>
      <c r="S8" s="2" t="str">
        <f>VLOOKUP(E8, merchant_master!$B$2:$D$6, 3, FALSE)</f>
        <v>Grocery</v>
      </c>
      <c r="T8" s="2">
        <f t="shared" si="3"/>
        <v>1</v>
      </c>
      <c r="U8" s="2">
        <f t="shared" ca="1" si="4"/>
        <v>1</v>
      </c>
    </row>
    <row r="9" spans="1:21" x14ac:dyDescent="0.2">
      <c r="A9" s="2" t="s">
        <v>41</v>
      </c>
      <c r="B9" s="3">
        <v>46084</v>
      </c>
      <c r="C9" s="2" t="b">
        <f ca="1">IFERROR(__xludf.DUMMYFUNCTION("ISDATE(B9)"),TRUE)</f>
        <v>1</v>
      </c>
      <c r="D9" s="2" t="s">
        <v>99</v>
      </c>
      <c r="E9" s="2" t="str">
        <f t="shared" si="0"/>
        <v>Beta Stores</v>
      </c>
      <c r="F9" s="2">
        <v>340000</v>
      </c>
      <c r="G9" s="4">
        <f>F9*exchange_rates!C$8</f>
        <v>4114</v>
      </c>
      <c r="H9" s="2" t="s">
        <v>18</v>
      </c>
      <c r="I9" s="2" t="s">
        <v>19</v>
      </c>
      <c r="J9" s="2" t="str">
        <f t="shared" si="1"/>
        <v>Captured</v>
      </c>
      <c r="K9" s="2">
        <v>59</v>
      </c>
      <c r="L9" s="5">
        <f ca="1">IFERROR(__xludf.DUMMYFUNCTION("IFERROR(VALUE(REGEXREPLACE(TO_TEXT(K9), ""[^0-9]"", """")), K9)"),59)</f>
        <v>59</v>
      </c>
      <c r="N9" s="2" t="str">
        <f t="shared" si="2"/>
        <v>MISSING</v>
      </c>
      <c r="O9" s="2" t="s">
        <v>42</v>
      </c>
      <c r="P9" s="2" t="str">
        <f>VLOOKUP(O9, users!$A$2:$B$11, 2, FALSE)</f>
        <v>Noah Kim</v>
      </c>
      <c r="Q9" s="2" t="s">
        <v>22</v>
      </c>
      <c r="R9" s="2" t="str">
        <f>VLOOKUP(E9, merchant_master!$B$2:$C$6, 2, FALSE)</f>
        <v>Rohan Mehta</v>
      </c>
      <c r="S9" s="2" t="str">
        <f>VLOOKUP(E9, merchant_master!$B$2:$D$6, 3, FALSE)</f>
        <v>Electronics</v>
      </c>
      <c r="T9" s="2">
        <f t="shared" si="3"/>
        <v>0</v>
      </c>
      <c r="U9" s="2">
        <f t="shared" ca="1" si="4"/>
        <v>0</v>
      </c>
    </row>
    <row r="10" spans="1:21" x14ac:dyDescent="0.2">
      <c r="A10" s="2" t="s">
        <v>43</v>
      </c>
      <c r="B10" s="3">
        <v>46084</v>
      </c>
      <c r="C10" s="2" t="b">
        <f ca="1">IFERROR(__xludf.DUMMYFUNCTION("ISDATE(B10)"),TRUE)</f>
        <v>1</v>
      </c>
      <c r="D10" s="2" t="s">
        <v>17</v>
      </c>
      <c r="E10" s="2" t="str">
        <f t="shared" si="0"/>
        <v>Alpha Mart</v>
      </c>
      <c r="F10" s="2">
        <v>125000</v>
      </c>
      <c r="G10" s="4">
        <f>F10*exchange_rates!C$8</f>
        <v>1512.5</v>
      </c>
      <c r="H10" s="2" t="s">
        <v>18</v>
      </c>
      <c r="I10" s="2" t="s">
        <v>96</v>
      </c>
      <c r="J10" s="2" t="str">
        <f t="shared" si="1"/>
        <v>Captured</v>
      </c>
      <c r="K10" s="2">
        <v>46</v>
      </c>
      <c r="L10" s="5">
        <f ca="1">IFERROR(__xludf.DUMMYFUNCTION("IFERROR(VALUE(REGEXREPLACE(TO_TEXT(K10), ""[^0-9]"", """")), K10)"),46)</f>
        <v>46</v>
      </c>
      <c r="M10" s="2" t="s">
        <v>20</v>
      </c>
      <c r="N10" s="2" t="str">
        <f t="shared" si="2"/>
        <v>APAC</v>
      </c>
      <c r="O10" s="2" t="s">
        <v>25</v>
      </c>
      <c r="P10" s="2" t="str">
        <f>VLOOKUP(O10, users!$A$2:$B$11, 2, FALSE)</f>
        <v>Meera Iyer</v>
      </c>
      <c r="Q10" s="2" t="s">
        <v>37</v>
      </c>
      <c r="R10" s="2" t="str">
        <f>VLOOKUP(E10, merchant_master!$B$2:$C$6, 2, FALSE)</f>
        <v>Aisha Khan</v>
      </c>
      <c r="S10" s="2" t="str">
        <f>VLOOKUP(E10, merchant_master!$B$2:$D$6, 3, FALSE)</f>
        <v>Grocery</v>
      </c>
      <c r="T10" s="2">
        <f t="shared" si="3"/>
        <v>0</v>
      </c>
      <c r="U10" s="2">
        <f t="shared" ca="1" si="4"/>
        <v>0</v>
      </c>
    </row>
    <row r="11" spans="1:21" x14ac:dyDescent="0.2">
      <c r="A11" s="2" t="s">
        <v>44</v>
      </c>
      <c r="B11" s="3">
        <v>46084</v>
      </c>
      <c r="C11" s="2" t="b">
        <f ca="1">IFERROR(__xludf.DUMMYFUNCTION("ISDATE(B11)"),TRUE)</f>
        <v>1</v>
      </c>
      <c r="D11" s="2" t="s">
        <v>28</v>
      </c>
      <c r="E11" s="2" t="str">
        <f t="shared" si="0"/>
        <v>Beta Stores</v>
      </c>
      <c r="F11" s="2">
        <v>610000</v>
      </c>
      <c r="G11" s="4">
        <f>F11*exchange_rates!C$8</f>
        <v>7381</v>
      </c>
      <c r="H11" s="2" t="s">
        <v>18</v>
      </c>
      <c r="I11" s="2" t="s">
        <v>96</v>
      </c>
      <c r="J11" s="2" t="str">
        <f t="shared" si="1"/>
        <v>Captured</v>
      </c>
      <c r="K11" s="2" t="s">
        <v>108</v>
      </c>
      <c r="L11" s="5">
        <f ca="1">IFERROR(__xludf.DUMMYFUNCTION("IFERROR(VALUE(REGEXREPLACE(TO_TEXT(K11), ""[^0-9]"", """")), K11)"),77)</f>
        <v>77</v>
      </c>
      <c r="N11" s="2" t="str">
        <f t="shared" si="2"/>
        <v>MISSING</v>
      </c>
      <c r="O11" s="2" t="s">
        <v>29</v>
      </c>
      <c r="P11" s="2" t="str">
        <f>VLOOKUP(O11, users!$A$2:$B$11, 2, FALSE)</f>
        <v>Kabir Jain</v>
      </c>
      <c r="Q11" s="2" t="s">
        <v>26</v>
      </c>
      <c r="R11" s="2" t="str">
        <f>VLOOKUP(E11, merchant_master!$B$2:$C$6, 2, FALSE)</f>
        <v>Rohan Mehta</v>
      </c>
      <c r="S11" s="2" t="str">
        <f>VLOOKUP(E11, merchant_master!$B$2:$D$6, 3, FALSE)</f>
        <v>Electronics</v>
      </c>
      <c r="T11" s="2">
        <f t="shared" si="3"/>
        <v>0</v>
      </c>
      <c r="U11" s="2">
        <f t="shared" ca="1" si="4"/>
        <v>1</v>
      </c>
    </row>
    <row r="12" spans="1:21" x14ac:dyDescent="0.2">
      <c r="A12" s="2" t="s">
        <v>45</v>
      </c>
      <c r="B12" s="3">
        <v>46084</v>
      </c>
      <c r="C12" s="2" t="b">
        <f ca="1">IFERROR(__xludf.DUMMYFUNCTION("ISDATE(B12)"),TRUE)</f>
        <v>1</v>
      </c>
      <c r="D12" s="2" t="s">
        <v>105</v>
      </c>
      <c r="E12" s="2" t="str">
        <f t="shared" si="0"/>
        <v>Alpha Mart</v>
      </c>
      <c r="F12" s="2">
        <v>195000</v>
      </c>
      <c r="G12" s="4">
        <f>F12*exchange_rates!C$8</f>
        <v>2359.5</v>
      </c>
      <c r="H12" s="2" t="s">
        <v>18</v>
      </c>
      <c r="I12" s="2" t="s">
        <v>109</v>
      </c>
      <c r="J12" s="2" t="str">
        <f t="shared" si="1"/>
        <v>Failed E05 Timeout</v>
      </c>
      <c r="L12" s="5">
        <f ca="1">IFERROR(__xludf.DUMMYFUNCTION("IFERROR(VALUE(REGEXREPLACE(TO_TEXT(K12), ""[^0-9]"", """")), K12)"),0)</f>
        <v>0</v>
      </c>
      <c r="N12" s="2" t="str">
        <f t="shared" si="2"/>
        <v>MISSING</v>
      </c>
      <c r="O12" s="2" t="s">
        <v>46</v>
      </c>
      <c r="P12" s="2" t="str">
        <f>VLOOKUP(O12, users!$A$2:$B$11, 2, FALSE)</f>
        <v>Ishaan Verma</v>
      </c>
      <c r="Q12" s="2" t="s">
        <v>22</v>
      </c>
      <c r="R12" s="2" t="str">
        <f>VLOOKUP(E12, merchant_master!$B$2:$C$6, 2, FALSE)</f>
        <v>Aisha Khan</v>
      </c>
      <c r="S12" s="2" t="str">
        <f>VLOOKUP(E12, merchant_master!$B$2:$D$6, 3, FALSE)</f>
        <v>Grocery</v>
      </c>
      <c r="T12" s="2">
        <f t="shared" si="3"/>
        <v>0</v>
      </c>
      <c r="U12" s="2">
        <f t="shared" ca="1" si="4"/>
        <v>0</v>
      </c>
    </row>
    <row r="13" spans="1:21" x14ac:dyDescent="0.2">
      <c r="A13" s="2" t="s">
        <v>47</v>
      </c>
      <c r="B13" s="3">
        <v>46085</v>
      </c>
      <c r="C13" s="2" t="b">
        <f ca="1">IFERROR(__xludf.DUMMYFUNCTION("ISDATE(B13)"),TRUE)</f>
        <v>1</v>
      </c>
      <c r="D13" s="2" t="s">
        <v>101</v>
      </c>
      <c r="E13" s="2" t="str">
        <f t="shared" si="0"/>
        <v>Beta Stores</v>
      </c>
      <c r="F13" s="2">
        <v>250000</v>
      </c>
      <c r="G13" s="4">
        <f>F13*exchange_rates!C$11</f>
        <v>3000</v>
      </c>
      <c r="H13" s="2" t="s">
        <v>18</v>
      </c>
      <c r="I13" s="2" t="s">
        <v>96</v>
      </c>
      <c r="J13" s="2" t="str">
        <f t="shared" si="1"/>
        <v>Captured</v>
      </c>
      <c r="K13" s="2" t="s">
        <v>110</v>
      </c>
      <c r="L13" s="5">
        <f ca="1">IFERROR(__xludf.DUMMYFUNCTION("IFERROR(VALUE(REGEXREPLACE(TO_TEXT(K13), ""[^0-9]"", """")), K13)"),61)</f>
        <v>61</v>
      </c>
      <c r="M13" s="2" t="s">
        <v>20</v>
      </c>
      <c r="N13" s="2" t="str">
        <f t="shared" si="2"/>
        <v>APAC</v>
      </c>
      <c r="O13" s="2" t="s">
        <v>48</v>
      </c>
      <c r="P13" s="2" t="str">
        <f>VLOOKUP(O13, users!$A$2:$B$11, 2, FALSE)</f>
        <v>Emma Brooks</v>
      </c>
      <c r="Q13" s="2" t="s">
        <v>26</v>
      </c>
      <c r="R13" s="2" t="str">
        <f>VLOOKUP(E13, merchant_master!$B$2:$C$6, 2, FALSE)</f>
        <v>Rohan Mehta</v>
      </c>
      <c r="S13" s="2" t="str">
        <f>VLOOKUP(E13, merchant_master!$B$2:$D$6, 3, FALSE)</f>
        <v>Electronics</v>
      </c>
      <c r="T13" s="2">
        <f t="shared" si="3"/>
        <v>0</v>
      </c>
      <c r="U13" s="2">
        <f t="shared" ca="1" si="4"/>
        <v>0</v>
      </c>
    </row>
    <row r="14" spans="1:21" x14ac:dyDescent="0.2">
      <c r="A14" s="2" t="s">
        <v>49</v>
      </c>
      <c r="B14" s="3">
        <v>46085</v>
      </c>
      <c r="C14" s="2" t="b">
        <f ca="1">IFERROR(__xludf.DUMMYFUNCTION("ISDATE(B14)"),TRUE)</f>
        <v>1</v>
      </c>
      <c r="D14" s="2" t="s">
        <v>95</v>
      </c>
      <c r="E14" s="2" t="str">
        <f t="shared" si="0"/>
        <v>Alpha Mart</v>
      </c>
      <c r="F14" s="2">
        <v>310000</v>
      </c>
      <c r="G14" s="4">
        <f>F14*exchange_rates!C$11</f>
        <v>3720</v>
      </c>
      <c r="H14" s="2" t="s">
        <v>18</v>
      </c>
      <c r="I14" s="2" t="s">
        <v>96</v>
      </c>
      <c r="J14" s="2" t="str">
        <f t="shared" si="1"/>
        <v>Captured</v>
      </c>
      <c r="K14" s="2" t="s">
        <v>111</v>
      </c>
      <c r="L14" s="5">
        <f ca="1">IFERROR(__xludf.DUMMYFUNCTION("IFERROR(VALUE(REGEXREPLACE(TO_TEXT(K14), ""[^0-9]"", """")), K14)"),54)</f>
        <v>54</v>
      </c>
      <c r="M14" s="2" t="s">
        <v>20</v>
      </c>
      <c r="N14" s="2" t="str">
        <f t="shared" si="2"/>
        <v>APAC</v>
      </c>
      <c r="O14" s="2" t="s">
        <v>50</v>
      </c>
      <c r="P14" s="2" t="str">
        <f>VLOOKUP(O14, users!$A$2:$B$11, 2, FALSE)</f>
        <v>Liam Carter</v>
      </c>
      <c r="Q14" s="2" t="s">
        <v>22</v>
      </c>
      <c r="R14" s="2" t="str">
        <f>VLOOKUP(E14, merchant_master!$B$2:$C$6, 2, FALSE)</f>
        <v>Aisha Khan</v>
      </c>
      <c r="S14" s="2" t="str">
        <f>VLOOKUP(E14, merchant_master!$B$2:$D$6, 3, FALSE)</f>
        <v>Grocery</v>
      </c>
      <c r="T14" s="2">
        <f t="shared" si="3"/>
        <v>0</v>
      </c>
      <c r="U14" s="2">
        <f t="shared" ca="1" si="4"/>
        <v>0</v>
      </c>
    </row>
    <row r="15" spans="1:21" x14ac:dyDescent="0.2">
      <c r="A15" s="2" t="s">
        <v>51</v>
      </c>
      <c r="B15" s="3">
        <v>46085</v>
      </c>
      <c r="C15" s="2" t="b">
        <f ca="1">IFERROR(__xludf.DUMMYFUNCTION("ISDATE(B15)"),TRUE)</f>
        <v>1</v>
      </c>
      <c r="D15" s="2" t="s">
        <v>101</v>
      </c>
      <c r="E15" s="2" t="str">
        <f t="shared" si="0"/>
        <v>Beta Stores</v>
      </c>
      <c r="F15" s="2">
        <v>470000</v>
      </c>
      <c r="G15" s="4">
        <f>F15*exchange_rates!C$11</f>
        <v>5640</v>
      </c>
      <c r="H15" s="2" t="s">
        <v>18</v>
      </c>
      <c r="I15" s="2" t="s">
        <v>96</v>
      </c>
      <c r="J15" s="2" t="str">
        <f t="shared" si="1"/>
        <v>Captured</v>
      </c>
      <c r="K15" s="2" t="s">
        <v>112</v>
      </c>
      <c r="L15" s="5">
        <f ca="1">IFERROR(__xludf.DUMMYFUNCTION("IFERROR(VALUE(REGEXREPLACE(TO_TEXT(K15), ""[^0-9]"", """")), K15)"),73)</f>
        <v>73</v>
      </c>
      <c r="M15" s="2" t="s">
        <v>20</v>
      </c>
      <c r="N15" s="2" t="str">
        <f t="shared" si="2"/>
        <v>APAC</v>
      </c>
      <c r="O15" s="2" t="s">
        <v>21</v>
      </c>
      <c r="P15" s="2" t="str">
        <f>VLOOKUP(O15, users!$A$2:$B$11, 2, FALSE)</f>
        <v>Aarav Shah</v>
      </c>
      <c r="Q15" s="2" t="s">
        <v>30</v>
      </c>
      <c r="R15" s="2" t="str">
        <f>VLOOKUP(E15, merchant_master!$B$2:$C$6, 2, FALSE)</f>
        <v>Rohan Mehta</v>
      </c>
      <c r="S15" s="2" t="str">
        <f>VLOOKUP(E15, merchant_master!$B$2:$D$6, 3, FALSE)</f>
        <v>Electronics</v>
      </c>
      <c r="T15" s="2">
        <f t="shared" si="3"/>
        <v>1</v>
      </c>
      <c r="U15" s="2">
        <f t="shared" ca="1" si="4"/>
        <v>1</v>
      </c>
    </row>
    <row r="16" spans="1:21" x14ac:dyDescent="0.2">
      <c r="A16" s="2" t="s">
        <v>52</v>
      </c>
      <c r="B16" s="3">
        <v>46085</v>
      </c>
      <c r="C16" s="2" t="b">
        <f ca="1">IFERROR(__xludf.DUMMYFUNCTION("ISDATE(B16)"),TRUE)</f>
        <v>1</v>
      </c>
      <c r="D16" s="2" t="s">
        <v>17</v>
      </c>
      <c r="E16" s="2" t="str">
        <f t="shared" si="0"/>
        <v>Alpha Mart</v>
      </c>
      <c r="F16" s="2">
        <v>130000</v>
      </c>
      <c r="G16" s="4">
        <f>F16*exchange_rates!C$11</f>
        <v>1560</v>
      </c>
      <c r="H16" s="2" t="s">
        <v>18</v>
      </c>
      <c r="I16" s="2" t="s">
        <v>96</v>
      </c>
      <c r="J16" s="2" t="str">
        <f t="shared" si="1"/>
        <v>Captured</v>
      </c>
      <c r="K16" s="2" t="s">
        <v>113</v>
      </c>
      <c r="L16" s="5">
        <f ca="1">IFERROR(__xludf.DUMMYFUNCTION("IFERROR(VALUE(REGEXREPLACE(TO_TEXT(K16), ""[^0-9]"", """")), K16)"),52)</f>
        <v>52</v>
      </c>
      <c r="N16" s="2" t="str">
        <f t="shared" si="2"/>
        <v>MISSING</v>
      </c>
      <c r="O16" s="2" t="s">
        <v>25</v>
      </c>
      <c r="P16" s="2" t="str">
        <f>VLOOKUP(O16, users!$A$2:$B$11, 2, FALSE)</f>
        <v>Meera Iyer</v>
      </c>
      <c r="Q16" s="2" t="s">
        <v>26</v>
      </c>
      <c r="R16" s="2" t="str">
        <f>VLOOKUP(E16, merchant_master!$B$2:$C$6, 2, FALSE)</f>
        <v>Aisha Khan</v>
      </c>
      <c r="S16" s="2" t="str">
        <f>VLOOKUP(E16, merchant_master!$B$2:$D$6, 3, FALSE)</f>
        <v>Grocery</v>
      </c>
      <c r="T16" s="2">
        <f t="shared" si="3"/>
        <v>0</v>
      </c>
      <c r="U16" s="2">
        <f t="shared" ca="1" si="4"/>
        <v>0</v>
      </c>
    </row>
    <row r="17" spans="1:21" x14ac:dyDescent="0.2">
      <c r="A17" s="2" t="s">
        <v>53</v>
      </c>
      <c r="B17" s="3">
        <v>46086</v>
      </c>
      <c r="C17" s="2" t="b">
        <f ca="1">IFERROR(__xludf.DUMMYFUNCTION("ISDATE(B17)"),TRUE)</f>
        <v>1</v>
      </c>
      <c r="D17" s="2" t="s">
        <v>101</v>
      </c>
      <c r="E17" s="2" t="str">
        <f t="shared" si="0"/>
        <v>Beta Stores</v>
      </c>
      <c r="F17" s="2">
        <v>220000</v>
      </c>
      <c r="G17" s="4">
        <f>F17*exchange_rates!C$14</f>
        <v>2596</v>
      </c>
      <c r="H17" s="2" t="s">
        <v>18</v>
      </c>
      <c r="I17" s="2" t="s">
        <v>114</v>
      </c>
      <c r="J17" s="2" t="str">
        <f t="shared" si="1"/>
        <v>Failed E05 Timeout</v>
      </c>
      <c r="K17" s="2" t="s">
        <v>115</v>
      </c>
      <c r="L17" s="5">
        <f ca="1">IFERROR(__xludf.DUMMYFUNCTION("IFERROR(VALUE(REGEXREPLACE(TO_TEXT(K17), ""[^0-9]"", """")), K17)"),69)</f>
        <v>69</v>
      </c>
      <c r="N17" s="2" t="str">
        <f t="shared" si="2"/>
        <v>MISSING</v>
      </c>
      <c r="O17" s="2" t="s">
        <v>46</v>
      </c>
      <c r="P17" s="2" t="str">
        <f>VLOOKUP(O17, users!$A$2:$B$11, 2, FALSE)</f>
        <v>Ishaan Verma</v>
      </c>
      <c r="Q17" s="2" t="s">
        <v>26</v>
      </c>
      <c r="R17" s="2" t="str">
        <f>VLOOKUP(E17, merchant_master!$B$2:$C$6, 2, FALSE)</f>
        <v>Rohan Mehta</v>
      </c>
      <c r="S17" s="2" t="str">
        <f>VLOOKUP(E17, merchant_master!$B$2:$D$6, 3, FALSE)</f>
        <v>Electronics</v>
      </c>
      <c r="T17" s="2">
        <f t="shared" si="3"/>
        <v>0</v>
      </c>
      <c r="U17" s="2">
        <f t="shared" ca="1" si="4"/>
        <v>0</v>
      </c>
    </row>
    <row r="18" spans="1:21" x14ac:dyDescent="0.2">
      <c r="A18" s="2" t="s">
        <v>54</v>
      </c>
      <c r="B18" s="3">
        <v>46086</v>
      </c>
      <c r="C18" s="2" t="b">
        <f ca="1">IFERROR(__xludf.DUMMYFUNCTION("ISDATE(B18)"),TRUE)</f>
        <v>1</v>
      </c>
      <c r="D18" s="2" t="s">
        <v>101</v>
      </c>
      <c r="E18" s="2" t="str">
        <f t="shared" si="0"/>
        <v>Beta Stores</v>
      </c>
      <c r="F18" s="2">
        <v>180000</v>
      </c>
      <c r="G18" s="4">
        <f>F18*exchange_rates!C$14</f>
        <v>2124</v>
      </c>
      <c r="H18" s="2" t="s">
        <v>18</v>
      </c>
      <c r="I18" s="2" t="s">
        <v>32</v>
      </c>
      <c r="J18" s="2" t="str">
        <f t="shared" si="1"/>
        <v>Failed E05 Timeout</v>
      </c>
      <c r="K18" s="2" t="s">
        <v>116</v>
      </c>
      <c r="L18" s="5">
        <f ca="1">IFERROR(__xludf.DUMMYFUNCTION("IFERROR(VALUE(REGEXREPLACE(TO_TEXT(K18), ""[^0-9]"", """")), K18)"),72)</f>
        <v>72</v>
      </c>
      <c r="M18" s="2" t="s">
        <v>103</v>
      </c>
      <c r="N18" s="2" t="str">
        <f t="shared" si="2"/>
        <v>APAC</v>
      </c>
      <c r="O18" s="2" t="s">
        <v>46</v>
      </c>
      <c r="P18" s="2" t="str">
        <f>VLOOKUP(O18, users!$A$2:$B$11, 2, FALSE)</f>
        <v>Ishaan Verma</v>
      </c>
      <c r="Q18" s="2" t="s">
        <v>26</v>
      </c>
      <c r="R18" s="2" t="str">
        <f>VLOOKUP(E18, merchant_master!$B$2:$C$6, 2, FALSE)</f>
        <v>Rohan Mehta</v>
      </c>
      <c r="S18" s="2" t="str">
        <f>VLOOKUP(E18, merchant_master!$B$2:$D$6, 3, FALSE)</f>
        <v>Electronics</v>
      </c>
      <c r="T18" s="2">
        <f t="shared" si="3"/>
        <v>0</v>
      </c>
      <c r="U18" s="2">
        <f t="shared" ca="1" si="4"/>
        <v>1</v>
      </c>
    </row>
    <row r="19" spans="1:21" x14ac:dyDescent="0.2">
      <c r="A19" s="2" t="s">
        <v>55</v>
      </c>
      <c r="B19" s="3">
        <v>46086</v>
      </c>
      <c r="C19" s="2" t="b">
        <f ca="1">IFERROR(__xludf.DUMMYFUNCTION("ISDATE(B19)"),TRUE)</f>
        <v>1</v>
      </c>
      <c r="D19" s="2" t="s">
        <v>99</v>
      </c>
      <c r="E19" s="2" t="str">
        <f t="shared" si="0"/>
        <v>Beta Stores</v>
      </c>
      <c r="F19" s="2">
        <v>145000</v>
      </c>
      <c r="G19" s="4">
        <f>F19*exchange_rates!C$14</f>
        <v>1711</v>
      </c>
      <c r="H19" s="2" t="s">
        <v>18</v>
      </c>
      <c r="I19" s="2" t="s">
        <v>106</v>
      </c>
      <c r="J19" s="2" t="str">
        <f t="shared" si="1"/>
        <v>Chargeback</v>
      </c>
      <c r="K19" s="2" t="s">
        <v>117</v>
      </c>
      <c r="L19" s="5">
        <f ca="1">IFERROR(__xludf.DUMMYFUNCTION("IFERROR(VALUE(REGEXREPLACE(TO_TEXT(K19), ""[^0-9]"", """")), K19)"),86)</f>
        <v>86</v>
      </c>
      <c r="M19" s="2" t="s">
        <v>20</v>
      </c>
      <c r="N19" s="2" t="str">
        <f t="shared" si="2"/>
        <v>APAC</v>
      </c>
      <c r="O19" s="2" t="s">
        <v>46</v>
      </c>
      <c r="P19" s="2" t="str">
        <f>VLOOKUP(O19, users!$A$2:$B$11, 2, FALSE)</f>
        <v>Ishaan Verma</v>
      </c>
      <c r="Q19" s="2" t="s">
        <v>22</v>
      </c>
      <c r="R19" s="2" t="str">
        <f>VLOOKUP(E19, merchant_master!$B$2:$C$6, 2, FALSE)</f>
        <v>Rohan Mehta</v>
      </c>
      <c r="S19" s="2" t="str">
        <f>VLOOKUP(E19, merchant_master!$B$2:$D$6, 3, FALSE)</f>
        <v>Electronics</v>
      </c>
      <c r="T19" s="2">
        <f t="shared" si="3"/>
        <v>0</v>
      </c>
      <c r="U19" s="2">
        <f t="shared" ca="1" si="4"/>
        <v>1</v>
      </c>
    </row>
    <row r="20" spans="1:21" x14ac:dyDescent="0.2">
      <c r="A20" s="2" t="s">
        <v>56</v>
      </c>
      <c r="B20" s="3">
        <v>46086</v>
      </c>
      <c r="C20" s="2" t="b">
        <f ca="1">IFERROR(__xludf.DUMMYFUNCTION("ISDATE(B20)"),TRUE)</f>
        <v>1</v>
      </c>
      <c r="D20" s="2" t="s">
        <v>105</v>
      </c>
      <c r="E20" s="2" t="str">
        <f t="shared" si="0"/>
        <v>Alpha Mart</v>
      </c>
      <c r="F20" s="2">
        <v>260000</v>
      </c>
      <c r="G20" s="4">
        <f>F20*exchange_rates!C$14</f>
        <v>3068</v>
      </c>
      <c r="H20" s="2" t="s">
        <v>18</v>
      </c>
      <c r="I20" s="2" t="s">
        <v>32</v>
      </c>
      <c r="J20" s="2" t="str">
        <f t="shared" si="1"/>
        <v>Failed E05 Timeout</v>
      </c>
      <c r="K20" s="2" t="s">
        <v>118</v>
      </c>
      <c r="L20" s="5">
        <f ca="1">IFERROR(__xludf.DUMMYFUNCTION("IFERROR(VALUE(REGEXREPLACE(TO_TEXT(K20), ""[^0-9]"", """")), K20)"),67)</f>
        <v>67</v>
      </c>
      <c r="M20" s="2" t="s">
        <v>103</v>
      </c>
      <c r="N20" s="2" t="str">
        <f t="shared" si="2"/>
        <v>APAC</v>
      </c>
      <c r="O20" s="2" t="s">
        <v>46</v>
      </c>
      <c r="P20" s="2" t="str">
        <f>VLOOKUP(O20, users!$A$2:$B$11, 2, FALSE)</f>
        <v>Ishaan Verma</v>
      </c>
      <c r="Q20" s="2" t="s">
        <v>37</v>
      </c>
      <c r="R20" s="2" t="str">
        <f>VLOOKUP(E20, merchant_master!$B$2:$C$6, 2, FALSE)</f>
        <v>Aisha Khan</v>
      </c>
      <c r="S20" s="2" t="str">
        <f>VLOOKUP(E20, merchant_master!$B$2:$D$6, 3, FALSE)</f>
        <v>Grocery</v>
      </c>
      <c r="T20" s="2">
        <f t="shared" si="3"/>
        <v>0</v>
      </c>
      <c r="U20" s="2">
        <f t="shared" ca="1" si="4"/>
        <v>0</v>
      </c>
    </row>
    <row r="21" spans="1:21" x14ac:dyDescent="0.2">
      <c r="A21" s="2" t="s">
        <v>57</v>
      </c>
      <c r="B21" s="3">
        <v>46086</v>
      </c>
      <c r="C21" s="2" t="b">
        <f ca="1">IFERROR(__xludf.DUMMYFUNCTION("ISDATE(B21)"),TRUE)</f>
        <v>1</v>
      </c>
      <c r="D21" s="2" t="s">
        <v>17</v>
      </c>
      <c r="E21" s="2" t="str">
        <f t="shared" si="0"/>
        <v>Alpha Mart</v>
      </c>
      <c r="F21" s="2">
        <v>520000</v>
      </c>
      <c r="G21" s="4">
        <f>F21*exchange_rates!C$14</f>
        <v>6136</v>
      </c>
      <c r="H21" s="2" t="s">
        <v>18</v>
      </c>
      <c r="I21" s="2" t="s">
        <v>19</v>
      </c>
      <c r="J21" s="2" t="str">
        <f t="shared" si="1"/>
        <v>Captured</v>
      </c>
      <c r="K21" s="2">
        <v>75</v>
      </c>
      <c r="L21" s="5">
        <f ca="1">IFERROR(__xludf.DUMMYFUNCTION("IFERROR(VALUE(REGEXREPLACE(TO_TEXT(K21), ""[^0-9]"", """")), K21)"),75)</f>
        <v>75</v>
      </c>
      <c r="M21" s="2" t="s">
        <v>20</v>
      </c>
      <c r="N21" s="2" t="str">
        <f t="shared" si="2"/>
        <v>APAC</v>
      </c>
      <c r="O21" s="2" t="s">
        <v>36</v>
      </c>
      <c r="P21" s="2" t="str">
        <f>VLOOKUP(O21, users!$A$2:$B$11, 2, FALSE)</f>
        <v>Vikram Nair</v>
      </c>
      <c r="Q21" s="2" t="s">
        <v>22</v>
      </c>
      <c r="R21" s="2" t="str">
        <f>VLOOKUP(E21, merchant_master!$B$2:$C$6, 2, FALSE)</f>
        <v>Aisha Khan</v>
      </c>
      <c r="S21" s="2" t="str">
        <f>VLOOKUP(E21, merchant_master!$B$2:$D$6, 3, FALSE)</f>
        <v>Grocery</v>
      </c>
      <c r="T21" s="2">
        <f t="shared" si="3"/>
        <v>1</v>
      </c>
      <c r="U21" s="2">
        <f t="shared" ca="1" si="4"/>
        <v>1</v>
      </c>
    </row>
    <row r="22" spans="1:21" x14ac:dyDescent="0.2">
      <c r="A22" s="2" t="s">
        <v>58</v>
      </c>
      <c r="B22" s="3">
        <v>46087</v>
      </c>
      <c r="C22" s="2" t="b">
        <f ca="1">IFERROR(__xludf.DUMMYFUNCTION("ISDATE(B22)"),TRUE)</f>
        <v>1</v>
      </c>
      <c r="D22" s="2" t="s">
        <v>119</v>
      </c>
      <c r="E22" s="2" t="str">
        <f t="shared" si="0"/>
        <v>Beta Stores</v>
      </c>
      <c r="F22" s="2">
        <v>330000</v>
      </c>
      <c r="G22" s="4">
        <f>F22*exchange_rates!C$17</f>
        <v>3927.0000000000005</v>
      </c>
      <c r="H22" s="2" t="s">
        <v>18</v>
      </c>
      <c r="I22" s="2" t="s">
        <v>96</v>
      </c>
      <c r="J22" s="2" t="str">
        <f t="shared" si="1"/>
        <v>Captured</v>
      </c>
      <c r="K22" s="2" t="s">
        <v>120</v>
      </c>
      <c r="L22" s="5">
        <f ca="1">IFERROR(__xludf.DUMMYFUNCTION("IFERROR(VALUE(REGEXREPLACE(TO_TEXT(K22), ""[^0-9]"", """")), K22)"),63)</f>
        <v>63</v>
      </c>
      <c r="N22" s="2" t="str">
        <f t="shared" si="2"/>
        <v>MISSING</v>
      </c>
      <c r="O22" s="2" t="s">
        <v>40</v>
      </c>
      <c r="P22" s="2" t="str">
        <f>VLOOKUP(O22, users!$A$2:$B$11, 2, FALSE)</f>
        <v>Riya Gupta</v>
      </c>
      <c r="Q22" s="2" t="s">
        <v>26</v>
      </c>
      <c r="R22" s="2" t="str">
        <f>VLOOKUP(E22, merchant_master!$B$2:$C$6, 2, FALSE)</f>
        <v>Rohan Mehta</v>
      </c>
      <c r="S22" s="2" t="str">
        <f>VLOOKUP(E22, merchant_master!$B$2:$D$6, 3, FALSE)</f>
        <v>Electronics</v>
      </c>
      <c r="T22" s="2">
        <f t="shared" si="3"/>
        <v>0</v>
      </c>
      <c r="U22" s="2">
        <f t="shared" ca="1" si="4"/>
        <v>0</v>
      </c>
    </row>
    <row r="23" spans="1:21" x14ac:dyDescent="0.2">
      <c r="A23" s="2" t="s">
        <v>59</v>
      </c>
      <c r="B23" s="3">
        <v>46087</v>
      </c>
      <c r="C23" s="2" t="b">
        <f ca="1">IFERROR(__xludf.DUMMYFUNCTION("ISDATE(B23)"),TRUE)</f>
        <v>1</v>
      </c>
      <c r="D23" s="2" t="s">
        <v>98</v>
      </c>
      <c r="E23" s="2" t="str">
        <f t="shared" si="0"/>
        <v>Alpha Mart</v>
      </c>
      <c r="F23" s="2">
        <v>410000</v>
      </c>
      <c r="G23" s="4">
        <f>F23*exchange_rates!C$17</f>
        <v>4879</v>
      </c>
      <c r="H23" s="2" t="s">
        <v>18</v>
      </c>
      <c r="I23" s="2" t="s">
        <v>96</v>
      </c>
      <c r="J23" s="2" t="str">
        <f t="shared" si="1"/>
        <v>Captured</v>
      </c>
      <c r="K23" s="2">
        <v>60</v>
      </c>
      <c r="L23" s="5">
        <f ca="1">IFERROR(__xludf.DUMMYFUNCTION("IFERROR(VALUE(REGEXREPLACE(TO_TEXT(K23), ""[^0-9]"", """")), K23)"),60)</f>
        <v>60</v>
      </c>
      <c r="M23" s="2" t="s">
        <v>20</v>
      </c>
      <c r="N23" s="2" t="str">
        <f t="shared" si="2"/>
        <v>APAC</v>
      </c>
      <c r="O23" s="2" t="s">
        <v>42</v>
      </c>
      <c r="P23" s="2" t="str">
        <f>VLOOKUP(O23, users!$A$2:$B$11, 2, FALSE)</f>
        <v>Noah Kim</v>
      </c>
      <c r="Q23" s="2" t="s">
        <v>22</v>
      </c>
      <c r="R23" s="2" t="str">
        <f>VLOOKUP(E23, merchant_master!$B$2:$C$6, 2, FALSE)</f>
        <v>Aisha Khan</v>
      </c>
      <c r="S23" s="2" t="str">
        <f>VLOOKUP(E23, merchant_master!$B$2:$D$6, 3, FALSE)</f>
        <v>Grocery</v>
      </c>
      <c r="T23" s="2">
        <f t="shared" si="3"/>
        <v>0</v>
      </c>
      <c r="U23" s="2">
        <f t="shared" ca="1" si="4"/>
        <v>0</v>
      </c>
    </row>
    <row r="24" spans="1:21" x14ac:dyDescent="0.2">
      <c r="A24" s="2" t="s">
        <v>60</v>
      </c>
      <c r="B24" s="3">
        <v>46082</v>
      </c>
      <c r="C24" s="2" t="b">
        <f ca="1">IFERROR(__xludf.DUMMYFUNCTION("ISDATE(B24)"),TRUE)</f>
        <v>1</v>
      </c>
      <c r="D24" s="2" t="s">
        <v>61</v>
      </c>
      <c r="E24" s="2" t="str">
        <f t="shared" si="0"/>
        <v>City Pharma</v>
      </c>
      <c r="F24" s="2">
        <v>5200</v>
      </c>
      <c r="G24" s="4">
        <f>F24*exchange_rates!C3</f>
        <v>5616</v>
      </c>
      <c r="H24" s="2" t="s">
        <v>62</v>
      </c>
      <c r="I24" s="2" t="s">
        <v>19</v>
      </c>
      <c r="J24" s="2" t="str">
        <f t="shared" si="1"/>
        <v>Captured</v>
      </c>
      <c r="K24" s="2">
        <v>42</v>
      </c>
      <c r="L24" s="5">
        <f ca="1">IFERROR(__xludf.DUMMYFUNCTION("IFERROR(VALUE(REGEXREPLACE(TO_TEXT(K24), ""[^0-9]"", """")), K24)"),42)</f>
        <v>42</v>
      </c>
      <c r="M24" s="2" t="s">
        <v>63</v>
      </c>
      <c r="N24" s="2" t="str">
        <f t="shared" si="2"/>
        <v>EU</v>
      </c>
      <c r="O24" s="2" t="s">
        <v>29</v>
      </c>
      <c r="P24" s="2" t="str">
        <f>VLOOKUP(O24, users!$A$2:$B$11, 2, FALSE)</f>
        <v>Kabir Jain</v>
      </c>
      <c r="Q24" s="2" t="s">
        <v>26</v>
      </c>
      <c r="R24" s="2" t="str">
        <f>VLOOKUP(E24, merchant_master!$B$2:$C$6, 2, FALSE)</f>
        <v>Elena Rossi</v>
      </c>
      <c r="S24" s="2" t="str">
        <f>VLOOKUP(E24, merchant_master!$B$2:$D$6, 3, FALSE)</f>
        <v>Healthcare</v>
      </c>
      <c r="T24" s="2">
        <f t="shared" si="3"/>
        <v>0</v>
      </c>
      <c r="U24" s="2">
        <f t="shared" ca="1" si="4"/>
        <v>0</v>
      </c>
    </row>
    <row r="25" spans="1:21" x14ac:dyDescent="0.2">
      <c r="A25" s="2" t="s">
        <v>64</v>
      </c>
      <c r="B25" s="3">
        <v>46083</v>
      </c>
      <c r="C25" s="2" t="b">
        <f ca="1">IFERROR(__xludf.DUMMYFUNCTION("ISDATE(B25)"),TRUE)</f>
        <v>1</v>
      </c>
      <c r="D25" s="2" t="s">
        <v>65</v>
      </c>
      <c r="E25" s="2" t="str">
        <f t="shared" si="0"/>
        <v>Eco Home</v>
      </c>
      <c r="F25" s="2">
        <v>6100</v>
      </c>
      <c r="G25" s="4">
        <f>F25*exchange_rates!C6</f>
        <v>6649.0000000000009</v>
      </c>
      <c r="H25" s="2" t="s">
        <v>62</v>
      </c>
      <c r="I25" s="2" t="s">
        <v>106</v>
      </c>
      <c r="J25" s="2" t="str">
        <f t="shared" si="1"/>
        <v>Chargeback</v>
      </c>
      <c r="K25" s="2" t="s">
        <v>121</v>
      </c>
      <c r="L25" s="5">
        <f ca="1">IFERROR(__xludf.DUMMYFUNCTION("IFERROR(VALUE(REGEXREPLACE(TO_TEXT(K25), ""[^0-9]"", """")), K25)"),65)</f>
        <v>65</v>
      </c>
      <c r="M25" s="2" t="s">
        <v>63</v>
      </c>
      <c r="N25" s="2" t="str">
        <f t="shared" si="2"/>
        <v>EU</v>
      </c>
      <c r="O25" s="2" t="s">
        <v>33</v>
      </c>
      <c r="P25" s="2" t="str">
        <f>VLOOKUP(O25, users!$A$2:$B$11, 2, FALSE)</f>
        <v>Sofia Rossi</v>
      </c>
      <c r="Q25" s="2" t="s">
        <v>26</v>
      </c>
      <c r="R25" s="2" t="str">
        <f>VLOOKUP(E25, merchant_master!$B$2:$C$6, 2, FALSE)</f>
        <v>Nina Weber</v>
      </c>
      <c r="S25" s="2" t="str">
        <f>VLOOKUP(E25, merchant_master!$B$2:$D$6, 3, FALSE)</f>
        <v>Home</v>
      </c>
      <c r="T25" s="2">
        <f t="shared" si="3"/>
        <v>1</v>
      </c>
      <c r="U25" s="2">
        <f t="shared" ca="1" si="4"/>
        <v>1</v>
      </c>
    </row>
    <row r="26" spans="1:21" x14ac:dyDescent="0.2">
      <c r="A26" s="2" t="s">
        <v>66</v>
      </c>
      <c r="B26" s="3">
        <v>46084</v>
      </c>
      <c r="C26" s="2" t="b">
        <f ca="1">IFERROR(__xludf.DUMMYFUNCTION("ISDATE(B26)"),TRUE)</f>
        <v>1</v>
      </c>
      <c r="D26" s="2" t="s">
        <v>61</v>
      </c>
      <c r="E26" s="2" t="str">
        <f t="shared" si="0"/>
        <v>City Pharma</v>
      </c>
      <c r="F26" s="2">
        <v>2800</v>
      </c>
      <c r="G26" s="4">
        <f>F26*exchange_rates!C9</f>
        <v>3024</v>
      </c>
      <c r="H26" s="2" t="s">
        <v>62</v>
      </c>
      <c r="I26" s="2" t="s">
        <v>96</v>
      </c>
      <c r="J26" s="2" t="str">
        <f t="shared" si="1"/>
        <v>Captured</v>
      </c>
      <c r="K26" s="2">
        <v>38</v>
      </c>
      <c r="L26" s="5">
        <f ca="1">IFERROR(__xludf.DUMMYFUNCTION("IFERROR(VALUE(REGEXREPLACE(TO_TEXT(K26), ""[^0-9]"", """")), K26)"),38)</f>
        <v>38</v>
      </c>
      <c r="M26" s="2" t="s">
        <v>122</v>
      </c>
      <c r="N26" s="2" t="str">
        <f t="shared" si="2"/>
        <v>EU</v>
      </c>
      <c r="O26" s="2" t="s">
        <v>36</v>
      </c>
      <c r="P26" s="2" t="str">
        <f>VLOOKUP(O26, users!$A$2:$B$11, 2, FALSE)</f>
        <v>Vikram Nair</v>
      </c>
      <c r="Q26" s="2" t="s">
        <v>37</v>
      </c>
      <c r="R26" s="2" t="str">
        <f>VLOOKUP(E26, merchant_master!$B$2:$C$6, 2, FALSE)</f>
        <v>Elena Rossi</v>
      </c>
      <c r="S26" s="2" t="str">
        <f>VLOOKUP(E26, merchant_master!$B$2:$D$6, 3, FALSE)</f>
        <v>Healthcare</v>
      </c>
      <c r="T26" s="2">
        <f t="shared" si="3"/>
        <v>0</v>
      </c>
      <c r="U26" s="2">
        <f t="shared" ca="1" si="4"/>
        <v>0</v>
      </c>
    </row>
    <row r="27" spans="1:21" x14ac:dyDescent="0.2">
      <c r="A27" s="2" t="s">
        <v>67</v>
      </c>
      <c r="B27" s="3">
        <v>46086</v>
      </c>
      <c r="C27" s="2" t="b">
        <f ca="1">IFERROR(__xludf.DUMMYFUNCTION("ISDATE(B27)"),TRUE)</f>
        <v>1</v>
      </c>
      <c r="D27" s="2" t="s">
        <v>65</v>
      </c>
      <c r="E27" s="2" t="str">
        <f t="shared" si="0"/>
        <v>Eco Home</v>
      </c>
      <c r="F27" s="2">
        <v>3300</v>
      </c>
      <c r="G27" s="4">
        <f>F27*exchange_rates!C15</f>
        <v>3597.0000000000005</v>
      </c>
      <c r="H27" s="2" t="s">
        <v>62</v>
      </c>
      <c r="I27" s="2" t="s">
        <v>32</v>
      </c>
      <c r="J27" s="2" t="str">
        <f t="shared" si="1"/>
        <v>Failed E05 Timeout</v>
      </c>
      <c r="K27" s="2">
        <v>44</v>
      </c>
      <c r="L27" s="5">
        <f ca="1">IFERROR(__xludf.DUMMYFUNCTION("IFERROR(VALUE(REGEXREPLACE(TO_TEXT(K27), ""[^0-9]"", """")), K27)"),44)</f>
        <v>44</v>
      </c>
      <c r="M27" s="2" t="s">
        <v>63</v>
      </c>
      <c r="N27" s="2" t="str">
        <f t="shared" si="2"/>
        <v>EU</v>
      </c>
      <c r="O27" s="2" t="s">
        <v>40</v>
      </c>
      <c r="P27" s="2" t="str">
        <f>VLOOKUP(O27, users!$A$2:$B$11, 2, FALSE)</f>
        <v>Riya Gupta</v>
      </c>
      <c r="Q27" s="2" t="s">
        <v>30</v>
      </c>
      <c r="R27" s="2" t="str">
        <f>VLOOKUP(E27, merchant_master!$B$2:$C$6, 2, FALSE)</f>
        <v>Nina Weber</v>
      </c>
      <c r="S27" s="2" t="str">
        <f>VLOOKUP(E27, merchant_master!$B$2:$D$6, 3, FALSE)</f>
        <v>Home</v>
      </c>
      <c r="T27" s="2">
        <f t="shared" si="3"/>
        <v>0</v>
      </c>
      <c r="U27" s="2">
        <f t="shared" ca="1" si="4"/>
        <v>0</v>
      </c>
    </row>
    <row r="28" spans="1:21" x14ac:dyDescent="0.2">
      <c r="A28" s="2" t="s">
        <v>68</v>
      </c>
      <c r="B28" s="3">
        <v>46082</v>
      </c>
      <c r="C28" s="2" t="b">
        <f ca="1">IFERROR(__xludf.DUMMYFUNCTION("ISDATE(B28)"),TRUE)</f>
        <v>1</v>
      </c>
      <c r="D28" s="2" t="s">
        <v>123</v>
      </c>
      <c r="E28" s="2" t="str">
        <f t="shared" si="0"/>
        <v>Delta Travels</v>
      </c>
      <c r="F28" s="2">
        <v>7200</v>
      </c>
      <c r="G28" s="4">
        <f t="shared" ref="G28:G31" si="5">F28</f>
        <v>7200</v>
      </c>
      <c r="H28" s="2" t="s">
        <v>70</v>
      </c>
      <c r="I28" s="2" t="s">
        <v>96</v>
      </c>
      <c r="J28" s="2" t="str">
        <f t="shared" si="1"/>
        <v>Captured</v>
      </c>
      <c r="K28" s="2">
        <v>49</v>
      </c>
      <c r="L28" s="5">
        <f ca="1">IFERROR(__xludf.DUMMYFUNCTION("IFERROR(VALUE(REGEXREPLACE(TO_TEXT(K28), ""[^0-9]"", """")), K28)"),49)</f>
        <v>49</v>
      </c>
      <c r="M28" s="2" t="s">
        <v>124</v>
      </c>
      <c r="N28" s="2" t="str">
        <f t="shared" si="2"/>
        <v>US</v>
      </c>
      <c r="O28" s="2" t="s">
        <v>42</v>
      </c>
      <c r="P28" s="2" t="str">
        <f>VLOOKUP(O28, users!$A$2:$B$11, 2, FALSE)</f>
        <v>Noah Kim</v>
      </c>
      <c r="Q28" s="2" t="s">
        <v>26</v>
      </c>
      <c r="R28" s="2" t="str">
        <f>VLOOKUP(E28, merchant_master!$B$2:$C$6, 2, FALSE)</f>
        <v>Marcus Lee</v>
      </c>
      <c r="S28" s="2" t="str">
        <f>VLOOKUP(E28, merchant_master!$B$2:$D$6, 3, FALSE)</f>
        <v>Travel</v>
      </c>
      <c r="T28" s="2">
        <f t="shared" si="3"/>
        <v>1</v>
      </c>
      <c r="U28" s="2">
        <f t="shared" ca="1" si="4"/>
        <v>0</v>
      </c>
    </row>
    <row r="29" spans="1:21" x14ac:dyDescent="0.2">
      <c r="A29" s="2" t="s">
        <v>72</v>
      </c>
      <c r="B29" s="3">
        <v>46083</v>
      </c>
      <c r="C29" s="2" t="b">
        <f ca="1">IFERROR(__xludf.DUMMYFUNCTION("ISDATE(B29)"),TRUE)</f>
        <v>1</v>
      </c>
      <c r="D29" s="2" t="s">
        <v>69</v>
      </c>
      <c r="E29" s="2" t="str">
        <f t="shared" si="0"/>
        <v>Delta Travels</v>
      </c>
      <c r="F29" s="2">
        <v>3100</v>
      </c>
      <c r="G29" s="4">
        <f t="shared" si="5"/>
        <v>3100</v>
      </c>
      <c r="H29" s="2" t="s">
        <v>70</v>
      </c>
      <c r="I29" s="2" t="s">
        <v>100</v>
      </c>
      <c r="J29" s="2" t="str">
        <f t="shared" si="1"/>
        <v>Captured</v>
      </c>
      <c r="K29" s="2" t="s">
        <v>125</v>
      </c>
      <c r="L29" s="5">
        <f ca="1">IFERROR(__xludf.DUMMYFUNCTION("IFERROR(VALUE(REGEXREPLACE(TO_TEXT(K29), ""[^0-9]"", """")), K29)"),41)</f>
        <v>41</v>
      </c>
      <c r="M29" s="2" t="s">
        <v>71</v>
      </c>
      <c r="N29" s="2" t="str">
        <f t="shared" si="2"/>
        <v>US</v>
      </c>
      <c r="O29" s="2" t="s">
        <v>46</v>
      </c>
      <c r="P29" s="2" t="str">
        <f>VLOOKUP(O29, users!$A$2:$B$11, 2, FALSE)</f>
        <v>Ishaan Verma</v>
      </c>
      <c r="Q29" s="2" t="s">
        <v>26</v>
      </c>
      <c r="R29" s="2" t="str">
        <f>VLOOKUP(E29, merchant_master!$B$2:$C$6, 2, FALSE)</f>
        <v>Marcus Lee</v>
      </c>
      <c r="S29" s="2" t="str">
        <f>VLOOKUP(E29, merchant_master!$B$2:$D$6, 3, FALSE)</f>
        <v>Travel</v>
      </c>
      <c r="T29" s="2">
        <f t="shared" si="3"/>
        <v>0</v>
      </c>
      <c r="U29" s="2">
        <f t="shared" ca="1" si="4"/>
        <v>0</v>
      </c>
    </row>
    <row r="30" spans="1:21" x14ac:dyDescent="0.2">
      <c r="A30" s="2" t="s">
        <v>73</v>
      </c>
      <c r="B30" s="3">
        <v>46085</v>
      </c>
      <c r="C30" s="2" t="b">
        <f ca="1">IFERROR(__xludf.DUMMYFUNCTION("ISDATE(B30)"),TRUE)</f>
        <v>1</v>
      </c>
      <c r="D30" s="2" t="s">
        <v>126</v>
      </c>
      <c r="E30" s="2" t="str">
        <f t="shared" si="0"/>
        <v>Delta Travels</v>
      </c>
      <c r="F30" s="2">
        <v>2500</v>
      </c>
      <c r="G30" s="4">
        <f t="shared" si="5"/>
        <v>2500</v>
      </c>
      <c r="H30" s="2" t="s">
        <v>70</v>
      </c>
      <c r="I30" s="2" t="s">
        <v>106</v>
      </c>
      <c r="J30" s="2" t="str">
        <f t="shared" si="1"/>
        <v>Chargeback</v>
      </c>
      <c r="K30" s="2" t="s">
        <v>127</v>
      </c>
      <c r="L30" s="5">
        <f ca="1">IFERROR(__xludf.DUMMYFUNCTION("IFERROR(VALUE(REGEXREPLACE(TO_TEXT(K30), ""[^0-9]"", """")), K30)"),58)</f>
        <v>58</v>
      </c>
      <c r="M30" s="2" t="s">
        <v>71</v>
      </c>
      <c r="N30" s="2" t="str">
        <f t="shared" si="2"/>
        <v>US</v>
      </c>
      <c r="O30" s="2" t="s">
        <v>48</v>
      </c>
      <c r="P30" s="2" t="str">
        <f>VLOOKUP(O30, users!$A$2:$B$11, 2, FALSE)</f>
        <v>Emma Brooks</v>
      </c>
      <c r="Q30" s="2" t="s">
        <v>37</v>
      </c>
      <c r="R30" s="2" t="str">
        <f>VLOOKUP(E30, merchant_master!$B$2:$C$6, 2, FALSE)</f>
        <v>Marcus Lee</v>
      </c>
      <c r="S30" s="2" t="str">
        <f>VLOOKUP(E30, merchant_master!$B$2:$D$6, 3, FALSE)</f>
        <v>Travel</v>
      </c>
      <c r="T30" s="2">
        <f t="shared" si="3"/>
        <v>0</v>
      </c>
      <c r="U30" s="2">
        <f t="shared" ca="1" si="4"/>
        <v>1</v>
      </c>
    </row>
    <row r="31" spans="1:21" x14ac:dyDescent="0.2">
      <c r="A31" s="2" t="s">
        <v>74</v>
      </c>
      <c r="B31" s="3">
        <v>46087</v>
      </c>
      <c r="C31" s="2" t="b">
        <f ca="1">IFERROR(__xludf.DUMMYFUNCTION("ISDATE(B31)"),TRUE)</f>
        <v>1</v>
      </c>
      <c r="D31" s="2" t="s">
        <v>123</v>
      </c>
      <c r="E31" s="2" t="str">
        <f t="shared" si="0"/>
        <v>Delta Travels</v>
      </c>
      <c r="F31" s="2">
        <v>1800</v>
      </c>
      <c r="G31" s="4">
        <f t="shared" si="5"/>
        <v>1800</v>
      </c>
      <c r="H31" s="2" t="s">
        <v>70</v>
      </c>
      <c r="I31" s="2" t="s">
        <v>32</v>
      </c>
      <c r="J31" s="2" t="str">
        <f t="shared" si="1"/>
        <v>Failed E05 Timeout</v>
      </c>
      <c r="K31" s="2" t="s">
        <v>128</v>
      </c>
      <c r="L31" s="5">
        <f ca="1">IFERROR(__xludf.DUMMYFUNCTION("IFERROR(VALUE(REGEXREPLACE(TO_TEXT(K31), ""[^0-9]"", """")), K31)"),47)</f>
        <v>47</v>
      </c>
      <c r="M31" s="2" t="s">
        <v>71</v>
      </c>
      <c r="N31" s="2" t="str">
        <f t="shared" si="2"/>
        <v>US</v>
      </c>
      <c r="O31" s="2" t="s">
        <v>50</v>
      </c>
      <c r="P31" s="2" t="str">
        <f>VLOOKUP(O31, users!$A$2:$B$11, 2, FALSE)</f>
        <v>Liam Carter</v>
      </c>
      <c r="Q31" s="2" t="s">
        <v>22</v>
      </c>
      <c r="R31" s="2" t="str">
        <f>VLOOKUP(E31, merchant_master!$B$2:$C$6, 2, FALSE)</f>
        <v>Marcus Lee</v>
      </c>
      <c r="S31" s="2" t="str">
        <f>VLOOKUP(E31, merchant_master!$B$2:$D$6, 3, FALSE)</f>
        <v>Travel</v>
      </c>
      <c r="T31" s="2">
        <f t="shared" si="3"/>
        <v>0</v>
      </c>
      <c r="U31" s="2">
        <f t="shared" ca="1" si="4"/>
        <v>0</v>
      </c>
    </row>
  </sheetData>
  <autoFilter ref="A1:U3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9"/>
  <sheetViews>
    <sheetView workbookViewId="0">
      <selection activeCell="C7" sqref="A7:C7"/>
    </sheetView>
  </sheetViews>
  <sheetFormatPr defaultColWidth="12.5703125" defaultRowHeight="15.75" customHeight="1" x14ac:dyDescent="0.2"/>
  <sheetData>
    <row r="1" spans="1:3" x14ac:dyDescent="0.2">
      <c r="A1" s="2" t="s">
        <v>171</v>
      </c>
      <c r="B1" s="2" t="s">
        <v>4</v>
      </c>
      <c r="C1" s="2" t="s">
        <v>172</v>
      </c>
    </row>
    <row r="2" spans="1:3" x14ac:dyDescent="0.2">
      <c r="A2" s="3">
        <v>46082</v>
      </c>
      <c r="B2" s="2" t="s">
        <v>18</v>
      </c>
      <c r="C2" s="2">
        <v>1.1900000000000001E-2</v>
      </c>
    </row>
    <row r="3" spans="1:3" x14ac:dyDescent="0.2">
      <c r="A3" s="3">
        <v>46082</v>
      </c>
      <c r="B3" s="2" t="s">
        <v>62</v>
      </c>
      <c r="C3" s="2">
        <v>1.08</v>
      </c>
    </row>
    <row r="4" spans="1:3" x14ac:dyDescent="0.2">
      <c r="A4" s="3">
        <v>46082</v>
      </c>
      <c r="B4" s="2" t="s">
        <v>70</v>
      </c>
      <c r="C4" s="2">
        <v>1</v>
      </c>
    </row>
    <row r="5" spans="1:3" x14ac:dyDescent="0.2">
      <c r="A5" s="3">
        <v>46083</v>
      </c>
      <c r="B5" s="2" t="s">
        <v>18</v>
      </c>
      <c r="C5" s="2">
        <v>1.2E-2</v>
      </c>
    </row>
    <row r="6" spans="1:3" x14ac:dyDescent="0.2">
      <c r="A6" s="3">
        <v>46083</v>
      </c>
      <c r="B6" s="2" t="s">
        <v>62</v>
      </c>
      <c r="C6" s="2">
        <v>1.0900000000000001</v>
      </c>
    </row>
    <row r="7" spans="1:3" x14ac:dyDescent="0.2">
      <c r="A7" s="3">
        <v>46083</v>
      </c>
      <c r="B7" s="2" t="s">
        <v>70</v>
      </c>
      <c r="C7" s="2">
        <v>1</v>
      </c>
    </row>
    <row r="8" spans="1:3" x14ac:dyDescent="0.2">
      <c r="A8" s="3">
        <v>46084</v>
      </c>
      <c r="B8" s="2" t="s">
        <v>18</v>
      </c>
      <c r="C8" s="2">
        <v>1.21E-2</v>
      </c>
    </row>
    <row r="9" spans="1:3" x14ac:dyDescent="0.2">
      <c r="A9" s="3">
        <v>46084</v>
      </c>
      <c r="B9" s="2" t="s">
        <v>62</v>
      </c>
      <c r="C9" s="2">
        <v>1.08</v>
      </c>
    </row>
    <row r="10" spans="1:3" x14ac:dyDescent="0.2">
      <c r="A10" s="3">
        <v>46084</v>
      </c>
      <c r="B10" s="2" t="s">
        <v>70</v>
      </c>
      <c r="C10" s="2">
        <v>1</v>
      </c>
    </row>
    <row r="11" spans="1:3" x14ac:dyDescent="0.2">
      <c r="A11" s="3">
        <v>46085</v>
      </c>
      <c r="B11" s="2" t="s">
        <v>18</v>
      </c>
      <c r="C11" s="2">
        <v>1.2E-2</v>
      </c>
    </row>
    <row r="12" spans="1:3" x14ac:dyDescent="0.2">
      <c r="A12" s="3">
        <v>46085</v>
      </c>
      <c r="B12" s="2" t="s">
        <v>62</v>
      </c>
      <c r="C12" s="2">
        <v>1.07</v>
      </c>
    </row>
    <row r="13" spans="1:3" x14ac:dyDescent="0.2">
      <c r="A13" s="3">
        <v>46085</v>
      </c>
      <c r="B13" s="2" t="s">
        <v>70</v>
      </c>
      <c r="C13" s="2">
        <v>1</v>
      </c>
    </row>
    <row r="14" spans="1:3" x14ac:dyDescent="0.2">
      <c r="A14" s="3">
        <v>46086</v>
      </c>
      <c r="B14" s="2" t="s">
        <v>18</v>
      </c>
      <c r="C14" s="2">
        <v>1.18E-2</v>
      </c>
    </row>
    <row r="15" spans="1:3" x14ac:dyDescent="0.2">
      <c r="A15" s="3">
        <v>46086</v>
      </c>
      <c r="B15" s="2" t="s">
        <v>62</v>
      </c>
      <c r="C15" s="2">
        <v>1.0900000000000001</v>
      </c>
    </row>
    <row r="16" spans="1:3" x14ac:dyDescent="0.2">
      <c r="A16" s="3">
        <v>46086</v>
      </c>
      <c r="B16" s="2" t="s">
        <v>70</v>
      </c>
      <c r="C16" s="2">
        <v>1</v>
      </c>
    </row>
    <row r="17" spans="1:3" x14ac:dyDescent="0.2">
      <c r="A17" s="3">
        <v>46087</v>
      </c>
      <c r="B17" s="2" t="s">
        <v>18</v>
      </c>
      <c r="C17" s="2">
        <v>1.1900000000000001E-2</v>
      </c>
    </row>
    <row r="18" spans="1:3" x14ac:dyDescent="0.2">
      <c r="A18" s="3">
        <v>46087</v>
      </c>
      <c r="B18" s="2" t="s">
        <v>62</v>
      </c>
      <c r="C18" s="2">
        <v>1.08</v>
      </c>
    </row>
    <row r="19" spans="1:3" x14ac:dyDescent="0.2">
      <c r="A19" s="3">
        <v>46087</v>
      </c>
      <c r="B19" s="2" t="s">
        <v>70</v>
      </c>
      <c r="C19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6"/>
  <sheetViews>
    <sheetView workbookViewId="0"/>
  </sheetViews>
  <sheetFormatPr defaultColWidth="12.5703125" defaultRowHeight="15.75" customHeight="1" x14ac:dyDescent="0.2"/>
  <cols>
    <col min="1" max="1" width="10.140625" customWidth="1"/>
    <col min="2" max="2" width="13" customWidth="1"/>
    <col min="3" max="3" width="14.42578125" customWidth="1"/>
    <col min="4" max="4" width="15.28515625" customWidth="1"/>
    <col min="5" max="5" width="11.42578125" customWidth="1"/>
  </cols>
  <sheetData>
    <row r="1" spans="1:5" x14ac:dyDescent="0.2">
      <c r="A1" s="2" t="s">
        <v>129</v>
      </c>
      <c r="B1" s="2" t="s">
        <v>90</v>
      </c>
      <c r="C1" s="2" t="s">
        <v>130</v>
      </c>
      <c r="D1" s="2" t="s">
        <v>12</v>
      </c>
      <c r="E1" s="2" t="s">
        <v>131</v>
      </c>
    </row>
    <row r="2" spans="1:5" x14ac:dyDescent="0.2">
      <c r="A2" s="2" t="s">
        <v>132</v>
      </c>
      <c r="B2" s="2" t="s">
        <v>17</v>
      </c>
      <c r="C2" s="2" t="s">
        <v>133</v>
      </c>
      <c r="D2" s="2" t="s">
        <v>134</v>
      </c>
      <c r="E2" s="2" t="s">
        <v>20</v>
      </c>
    </row>
    <row r="3" spans="1:5" x14ac:dyDescent="0.2">
      <c r="A3" s="2" t="s">
        <v>135</v>
      </c>
      <c r="B3" s="2" t="s">
        <v>28</v>
      </c>
      <c r="C3" s="2" t="s">
        <v>136</v>
      </c>
      <c r="D3" s="2" t="s">
        <v>137</v>
      </c>
      <c r="E3" s="2" t="s">
        <v>20</v>
      </c>
    </row>
    <row r="4" spans="1:5" x14ac:dyDescent="0.2">
      <c r="A4" s="2" t="s">
        <v>138</v>
      </c>
      <c r="B4" s="2" t="s">
        <v>61</v>
      </c>
      <c r="C4" s="2" t="s">
        <v>139</v>
      </c>
      <c r="D4" s="2" t="s">
        <v>140</v>
      </c>
      <c r="E4" s="2" t="s">
        <v>63</v>
      </c>
    </row>
    <row r="5" spans="1:5" x14ac:dyDescent="0.2">
      <c r="A5" s="2" t="s">
        <v>141</v>
      </c>
      <c r="B5" s="2" t="s">
        <v>69</v>
      </c>
      <c r="C5" s="2" t="s">
        <v>142</v>
      </c>
      <c r="D5" s="2" t="s">
        <v>143</v>
      </c>
      <c r="E5" s="2" t="s">
        <v>71</v>
      </c>
    </row>
    <row r="6" spans="1:5" x14ac:dyDescent="0.2">
      <c r="A6" s="2" t="s">
        <v>144</v>
      </c>
      <c r="B6" s="2" t="s">
        <v>65</v>
      </c>
      <c r="C6" s="2" t="s">
        <v>145</v>
      </c>
      <c r="D6" s="2" t="s">
        <v>146</v>
      </c>
      <c r="E6" s="2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1"/>
  <sheetViews>
    <sheetView workbookViewId="0"/>
  </sheetViews>
  <sheetFormatPr defaultColWidth="12.5703125" defaultRowHeight="15.75" customHeight="1" x14ac:dyDescent="0.2"/>
  <cols>
    <col min="1" max="5" width="16.7109375" customWidth="1"/>
  </cols>
  <sheetData>
    <row r="1" spans="1:5" x14ac:dyDescent="0.2">
      <c r="A1" s="2" t="s">
        <v>8</v>
      </c>
      <c r="B1" s="2" t="s">
        <v>147</v>
      </c>
      <c r="C1" s="2" t="s">
        <v>148</v>
      </c>
      <c r="D1" s="2" t="s">
        <v>149</v>
      </c>
      <c r="E1" s="2" t="s">
        <v>150</v>
      </c>
    </row>
    <row r="2" spans="1:5" x14ac:dyDescent="0.2">
      <c r="A2" s="2" t="s">
        <v>21</v>
      </c>
      <c r="B2" s="2" t="s">
        <v>78</v>
      </c>
      <c r="C2" s="3">
        <v>46032</v>
      </c>
      <c r="D2" s="2" t="s">
        <v>151</v>
      </c>
      <c r="E2" s="2" t="s">
        <v>152</v>
      </c>
    </row>
    <row r="3" spans="1:5" x14ac:dyDescent="0.2">
      <c r="A3" s="2" t="s">
        <v>25</v>
      </c>
      <c r="B3" s="2" t="s">
        <v>84</v>
      </c>
      <c r="C3" s="3">
        <v>46040</v>
      </c>
      <c r="D3" s="2" t="s">
        <v>151</v>
      </c>
      <c r="E3" s="2" t="s">
        <v>153</v>
      </c>
    </row>
    <row r="4" spans="1:5" x14ac:dyDescent="0.2">
      <c r="A4" s="2" t="s">
        <v>29</v>
      </c>
      <c r="B4" s="2" t="s">
        <v>82</v>
      </c>
      <c r="C4" s="3">
        <v>46044</v>
      </c>
      <c r="D4" s="2" t="s">
        <v>151</v>
      </c>
      <c r="E4" s="2" t="s">
        <v>152</v>
      </c>
    </row>
    <row r="5" spans="1:5" x14ac:dyDescent="0.2">
      <c r="A5" s="2" t="s">
        <v>33</v>
      </c>
      <c r="B5" s="2" t="s">
        <v>87</v>
      </c>
      <c r="C5" s="3">
        <v>46054</v>
      </c>
      <c r="D5" s="2" t="s">
        <v>154</v>
      </c>
      <c r="E5" s="2" t="s">
        <v>153</v>
      </c>
    </row>
    <row r="6" spans="1:5" x14ac:dyDescent="0.2">
      <c r="A6" s="2" t="s">
        <v>36</v>
      </c>
      <c r="B6" s="2" t="s">
        <v>88</v>
      </c>
      <c r="C6" s="3">
        <v>46057</v>
      </c>
      <c r="D6" s="2" t="s">
        <v>151</v>
      </c>
      <c r="E6" s="2" t="s">
        <v>152</v>
      </c>
    </row>
    <row r="7" spans="1:5" x14ac:dyDescent="0.2">
      <c r="A7" s="2" t="s">
        <v>40</v>
      </c>
      <c r="B7" s="2" t="s">
        <v>86</v>
      </c>
      <c r="C7" s="3">
        <v>46061</v>
      </c>
      <c r="D7" s="2" t="s">
        <v>151</v>
      </c>
      <c r="E7" s="2" t="s">
        <v>155</v>
      </c>
    </row>
    <row r="8" spans="1:5" x14ac:dyDescent="0.2">
      <c r="A8" s="2" t="s">
        <v>42</v>
      </c>
      <c r="B8" s="2" t="s">
        <v>85</v>
      </c>
      <c r="C8" s="3">
        <v>46065</v>
      </c>
      <c r="D8" s="2" t="s">
        <v>156</v>
      </c>
      <c r="E8" s="2" t="s">
        <v>152</v>
      </c>
    </row>
    <row r="9" spans="1:5" x14ac:dyDescent="0.2">
      <c r="A9" s="2" t="s">
        <v>46</v>
      </c>
      <c r="B9" s="2" t="s">
        <v>80</v>
      </c>
      <c r="C9" s="3">
        <v>46068</v>
      </c>
      <c r="D9" s="2" t="s">
        <v>151</v>
      </c>
      <c r="E9" s="2" t="s">
        <v>155</v>
      </c>
    </row>
    <row r="10" spans="1:5" x14ac:dyDescent="0.2">
      <c r="A10" s="2" t="s">
        <v>48</v>
      </c>
      <c r="B10" s="2" t="s">
        <v>79</v>
      </c>
      <c r="C10" s="3">
        <v>46073</v>
      </c>
      <c r="D10" s="2" t="s">
        <v>157</v>
      </c>
      <c r="E10" s="2" t="s">
        <v>152</v>
      </c>
    </row>
    <row r="11" spans="1:5" x14ac:dyDescent="0.2">
      <c r="A11" s="2" t="s">
        <v>50</v>
      </c>
      <c r="B11" s="2" t="s">
        <v>83</v>
      </c>
      <c r="C11" s="3">
        <v>46078</v>
      </c>
      <c r="D11" s="2" t="s">
        <v>157</v>
      </c>
      <c r="E11" s="2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1"/>
  <sheetViews>
    <sheetView workbookViewId="0">
      <selection activeCell="L19" sqref="L19"/>
    </sheetView>
  </sheetViews>
  <sheetFormatPr defaultColWidth="12.5703125" defaultRowHeight="15.75" customHeight="1" x14ac:dyDescent="0.2"/>
  <cols>
    <col min="1" max="6" width="13.140625" customWidth="1"/>
  </cols>
  <sheetData>
    <row r="1" spans="1:6" x14ac:dyDescent="0.2">
      <c r="A1" s="2" t="s">
        <v>0</v>
      </c>
      <c r="B1" s="2" t="s">
        <v>1</v>
      </c>
      <c r="C1" s="2" t="s">
        <v>129</v>
      </c>
      <c r="D1" s="2" t="s">
        <v>3</v>
      </c>
      <c r="E1" s="2" t="s">
        <v>92</v>
      </c>
      <c r="F1" s="2" t="s">
        <v>10</v>
      </c>
    </row>
    <row r="2" spans="1:6" x14ac:dyDescent="0.2">
      <c r="A2" s="2" t="s">
        <v>158</v>
      </c>
      <c r="B2" s="3">
        <v>46082</v>
      </c>
      <c r="C2" s="2" t="s">
        <v>132</v>
      </c>
      <c r="D2" s="2">
        <v>1200</v>
      </c>
      <c r="E2" s="2" t="s">
        <v>159</v>
      </c>
      <c r="F2" s="2" t="s">
        <v>22</v>
      </c>
    </row>
    <row r="3" spans="1:6" x14ac:dyDescent="0.2">
      <c r="A3" s="2" t="s">
        <v>160</v>
      </c>
      <c r="B3" s="3">
        <v>46082</v>
      </c>
      <c r="C3" s="2" t="s">
        <v>135</v>
      </c>
      <c r="D3" s="2">
        <v>850</v>
      </c>
      <c r="E3" s="2" t="s">
        <v>159</v>
      </c>
      <c r="F3" s="2" t="s">
        <v>26</v>
      </c>
    </row>
    <row r="4" spans="1:6" x14ac:dyDescent="0.2">
      <c r="A4" s="2" t="s">
        <v>161</v>
      </c>
      <c r="B4" s="3">
        <v>46083</v>
      </c>
      <c r="C4" s="2" t="s">
        <v>132</v>
      </c>
      <c r="D4" s="2">
        <v>500</v>
      </c>
      <c r="E4" s="2" t="s">
        <v>159</v>
      </c>
      <c r="F4" s="2" t="s">
        <v>37</v>
      </c>
    </row>
    <row r="5" spans="1:6" x14ac:dyDescent="0.2">
      <c r="A5" s="2" t="s">
        <v>162</v>
      </c>
      <c r="B5" s="3">
        <v>46083</v>
      </c>
      <c r="C5" s="2" t="s">
        <v>138</v>
      </c>
      <c r="D5" s="2">
        <v>2100</v>
      </c>
      <c r="E5" s="2" t="s">
        <v>159</v>
      </c>
      <c r="F5" s="2" t="s">
        <v>26</v>
      </c>
    </row>
    <row r="6" spans="1:6" x14ac:dyDescent="0.2">
      <c r="A6" s="2" t="s">
        <v>163</v>
      </c>
      <c r="B6" s="3">
        <v>46084</v>
      </c>
      <c r="C6" s="2" t="s">
        <v>141</v>
      </c>
      <c r="D6" s="2">
        <v>7200</v>
      </c>
      <c r="E6" s="2" t="s">
        <v>159</v>
      </c>
      <c r="F6" s="2" t="s">
        <v>26</v>
      </c>
    </row>
    <row r="7" spans="1:6" x14ac:dyDescent="0.2">
      <c r="A7" s="2" t="s">
        <v>164</v>
      </c>
      <c r="B7" s="3">
        <v>46084</v>
      </c>
      <c r="C7" s="2" t="s">
        <v>135</v>
      </c>
      <c r="D7" s="2">
        <v>950</v>
      </c>
      <c r="E7" s="2" t="s">
        <v>159</v>
      </c>
      <c r="F7" s="2" t="s">
        <v>22</v>
      </c>
    </row>
    <row r="8" spans="1:6" x14ac:dyDescent="0.2">
      <c r="A8" s="2" t="s">
        <v>165</v>
      </c>
      <c r="B8" s="3">
        <v>46085</v>
      </c>
      <c r="C8" s="2" t="s">
        <v>144</v>
      </c>
      <c r="D8" s="2">
        <v>3300</v>
      </c>
      <c r="E8" s="2" t="s">
        <v>166</v>
      </c>
      <c r="F8" s="2" t="s">
        <v>30</v>
      </c>
    </row>
    <row r="9" spans="1:6" x14ac:dyDescent="0.2">
      <c r="A9" s="2" t="s">
        <v>167</v>
      </c>
      <c r="B9" s="3">
        <v>46085</v>
      </c>
      <c r="C9" s="2" t="s">
        <v>132</v>
      </c>
      <c r="D9" s="2">
        <v>640</v>
      </c>
      <c r="E9" s="2" t="s">
        <v>159</v>
      </c>
      <c r="F9" s="2" t="s">
        <v>26</v>
      </c>
    </row>
    <row r="10" spans="1:6" x14ac:dyDescent="0.2">
      <c r="A10" s="2" t="s">
        <v>168</v>
      </c>
      <c r="B10" s="3">
        <v>46086</v>
      </c>
      <c r="C10" s="2" t="s">
        <v>135</v>
      </c>
      <c r="D10" s="2">
        <v>4100</v>
      </c>
      <c r="E10" s="2" t="s">
        <v>159</v>
      </c>
      <c r="F10" s="2" t="s">
        <v>26</v>
      </c>
    </row>
    <row r="11" spans="1:6" x14ac:dyDescent="0.2">
      <c r="A11" s="2" t="s">
        <v>169</v>
      </c>
      <c r="B11" s="3">
        <v>46086</v>
      </c>
      <c r="C11" s="2" t="s">
        <v>141</v>
      </c>
      <c r="D11" s="2">
        <v>2500</v>
      </c>
      <c r="E11" s="2" t="s">
        <v>159</v>
      </c>
      <c r="F11" s="2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0"/>
  <sheetViews>
    <sheetView tabSelected="1" workbookViewId="0">
      <selection activeCell="I17" sqref="I17"/>
    </sheetView>
  </sheetViews>
  <sheetFormatPr defaultColWidth="12.5703125" defaultRowHeight="15.75" customHeight="1" x14ac:dyDescent="0.2"/>
  <sheetData>
    <row r="1" spans="1:6" x14ac:dyDescent="0.2">
      <c r="A1" s="2" t="s">
        <v>0</v>
      </c>
      <c r="B1" s="2" t="s">
        <v>1</v>
      </c>
      <c r="C1" s="2" t="s">
        <v>129</v>
      </c>
      <c r="D1" s="2" t="s">
        <v>3</v>
      </c>
      <c r="E1" s="2" t="s">
        <v>92</v>
      </c>
      <c r="F1" s="2" t="s">
        <v>10</v>
      </c>
    </row>
    <row r="2" spans="1:6" x14ac:dyDescent="0.2">
      <c r="A2" s="2" t="s">
        <v>158</v>
      </c>
      <c r="B2" s="3">
        <v>46082</v>
      </c>
      <c r="C2" s="2" t="s">
        <v>132</v>
      </c>
      <c r="D2" s="2">
        <v>1200</v>
      </c>
      <c r="E2" s="2" t="s">
        <v>159</v>
      </c>
      <c r="F2" s="2" t="s">
        <v>22</v>
      </c>
    </row>
    <row r="3" spans="1:6" x14ac:dyDescent="0.2">
      <c r="A3" s="2" t="s">
        <v>160</v>
      </c>
      <c r="B3" s="3">
        <v>46082</v>
      </c>
      <c r="C3" s="2" t="s">
        <v>135</v>
      </c>
      <c r="D3" s="2">
        <v>900</v>
      </c>
      <c r="E3" s="2" t="s">
        <v>159</v>
      </c>
      <c r="F3" s="2" t="s">
        <v>26</v>
      </c>
    </row>
    <row r="4" spans="1:6" x14ac:dyDescent="0.2">
      <c r="A4" s="2" t="s">
        <v>161</v>
      </c>
      <c r="B4" s="3">
        <v>46083</v>
      </c>
      <c r="C4" s="2" t="s">
        <v>132</v>
      </c>
      <c r="D4" s="2">
        <v>500</v>
      </c>
      <c r="E4" s="2" t="s">
        <v>159</v>
      </c>
      <c r="F4" s="2" t="s">
        <v>37</v>
      </c>
    </row>
    <row r="5" spans="1:6" x14ac:dyDescent="0.2">
      <c r="A5" s="2" t="s">
        <v>163</v>
      </c>
      <c r="B5" s="3">
        <v>46084</v>
      </c>
      <c r="C5" s="2" t="s">
        <v>141</v>
      </c>
      <c r="D5" s="2">
        <v>7200</v>
      </c>
      <c r="E5" s="2" t="s">
        <v>166</v>
      </c>
      <c r="F5" s="2" t="s">
        <v>26</v>
      </c>
    </row>
    <row r="6" spans="1:6" x14ac:dyDescent="0.2">
      <c r="A6" s="2" t="s">
        <v>164</v>
      </c>
      <c r="B6" s="3">
        <v>46084</v>
      </c>
      <c r="C6" s="2" t="s">
        <v>135</v>
      </c>
      <c r="D6" s="2">
        <v>950</v>
      </c>
      <c r="E6" s="2" t="s">
        <v>159</v>
      </c>
      <c r="F6" s="2" t="s">
        <v>22</v>
      </c>
    </row>
    <row r="7" spans="1:6" x14ac:dyDescent="0.2">
      <c r="A7" s="2" t="s">
        <v>165</v>
      </c>
      <c r="B7" s="3">
        <v>46085</v>
      </c>
      <c r="C7" s="2" t="s">
        <v>144</v>
      </c>
      <c r="D7" s="2">
        <v>3300</v>
      </c>
      <c r="E7" s="2" t="s">
        <v>166</v>
      </c>
      <c r="F7" s="2" t="s">
        <v>30</v>
      </c>
    </row>
    <row r="8" spans="1:6" x14ac:dyDescent="0.2">
      <c r="A8" s="2" t="s">
        <v>167</v>
      </c>
      <c r="B8" s="3">
        <v>46085</v>
      </c>
      <c r="C8" s="2" t="s">
        <v>132</v>
      </c>
      <c r="D8" s="2">
        <v>600</v>
      </c>
      <c r="E8" s="2" t="s">
        <v>159</v>
      </c>
      <c r="F8" s="2" t="s">
        <v>26</v>
      </c>
    </row>
    <row r="9" spans="1:6" x14ac:dyDescent="0.2">
      <c r="A9" s="2" t="s">
        <v>168</v>
      </c>
      <c r="B9" s="3">
        <v>46086</v>
      </c>
      <c r="C9" s="2" t="s">
        <v>135</v>
      </c>
      <c r="D9" s="2">
        <v>4100</v>
      </c>
      <c r="E9" s="2" t="s">
        <v>159</v>
      </c>
      <c r="F9" s="2" t="s">
        <v>26</v>
      </c>
    </row>
    <row r="10" spans="1:6" x14ac:dyDescent="0.2">
      <c r="A10" s="2" t="s">
        <v>170</v>
      </c>
      <c r="B10" s="3">
        <v>46086</v>
      </c>
      <c r="C10" s="2" t="s">
        <v>138</v>
      </c>
      <c r="D10" s="2">
        <v>1800</v>
      </c>
      <c r="E10" s="2" t="s">
        <v>159</v>
      </c>
      <c r="F10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cleaned_transactions</vt:lpstr>
      <vt:lpstr>merchant_risk_summary</vt:lpstr>
      <vt:lpstr>transactions_raw</vt:lpstr>
      <vt:lpstr>exchange_rates</vt:lpstr>
      <vt:lpstr>merchant_master</vt:lpstr>
      <vt:lpstr>users</vt:lpstr>
      <vt:lpstr>ledger</vt:lpstr>
      <vt:lpstr>gateway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Stanley D'souza</cp:lastModifiedBy>
  <dcterms:created xsi:type="dcterms:W3CDTF">2026-04-28T14:11:03Z</dcterms:created>
  <dcterms:modified xsi:type="dcterms:W3CDTF">2026-04-28T17:56:05Z</dcterms:modified>
</cp:coreProperties>
</file>